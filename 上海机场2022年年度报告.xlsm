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0" activeTab="10"/>
  </bookViews>
  <sheets>
    <sheet name="Sheet1" sheetId="13" state="hidden" r:id="rId1"/>
    <sheet name="Summary" sheetId="15" state="hidden" r:id="rId2"/>
    <sheet name="Merger-Model" sheetId="16" state="hidden" r:id="rId3"/>
    <sheet name="Value-Creation" sheetId="17" state="hidden" r:id="rId4"/>
    <sheet name="Contrib." sheetId="18" state="hidden" r:id="rId5"/>
    <sheet name="DLR-Op-Model" sheetId="19" state="hidden" r:id="rId6"/>
    <sheet name="DLR-NAV" sheetId="20" state="hidden" r:id="rId7"/>
    <sheet name="DFT-Op-Model" sheetId="21" state="hidden" r:id="rId8"/>
    <sheet name="DFT-NAV" sheetId="22" state="hidden" r:id="rId9"/>
    <sheet name="DFT-DCF" sheetId="23" state="hidden" r:id="rId10"/>
    <sheet name="合并资产负债 (2)" sheetId="36" r:id="rId11"/>
  </sheets>
  <definedNames>
    <definedName name="Annual_Cost_Synergies">'Merger-Model'!$E$21</definedName>
    <definedName name="Buyer_Diluted_Shares">'DLR-Op-Model'!$O$15</definedName>
    <definedName name="Buyer_Ent_Value">'DLR-Op-Model'!$O$24</definedName>
    <definedName name="Buyer_Eq_Value">'DLR-Op-Model'!$O$18</definedName>
    <definedName name="Buyer_Hist_Year">'DLR-Op-Model'!$E$10</definedName>
    <definedName name="Buyer_Min_Cash_Pct">'DLR-Op-Model'!$E$21</definedName>
    <definedName name="Buyer_MRQ">'DLR-Op-Model'!$E$11</definedName>
    <definedName name="Buyer_Name">'DLR-Op-Model'!$E$7</definedName>
    <definedName name="Buyer_NAV_Cap_Rate_Adj">'DLR-NAV'!$E$8</definedName>
    <definedName name="Buyer_Pct_Debt">'DLR-Op-Model'!$E$23</definedName>
    <definedName name="Buyer_Pct_Equity">'DLR-Op-Model'!$E$24</definedName>
    <definedName name="Buyer_Share_Price">'DLR-Op-Model'!$E$14</definedName>
    <definedName name="Buyer_Shares">'DLR-Op-Model'!$E$15</definedName>
    <definedName name="Buyer_Tax_Rate">'DLR-Op-Model'!$E$17</definedName>
    <definedName name="Buyer_Ticker">'DLR-Op-Model'!$E$8</definedName>
    <definedName name="CDI_Writeup">'Merger-Model'!#REF!</definedName>
    <definedName name="CIQWBGuid" hidden="1">"fedf60f8-2cd9-49ba-9fee-91fc372c3a0f"</definedName>
    <definedName name="Close_Date">'Merger-Model'!$E$12</definedName>
    <definedName name="Cost_of_Equity">'DFT-DCF'!$E$8</definedName>
    <definedName name="Deal_Pct_Cash">'Merger-Model'!$E$14</definedName>
    <definedName name="Debt_Interest_Diff">'Merger-Model'!$F$43</definedName>
    <definedName name="Equity_Purchase_Price">'Merger-Model'!$E$11</definedName>
    <definedName name="Exchange_Ratio">'Merger-Model'!$E$7</definedName>
    <definedName name="Intangibles_Writeup">'Merger-Model'!$L$84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"08/30/2015 13:55:30"</definedName>
    <definedName name="IQ_QTD" hidden="1">750000</definedName>
    <definedName name="IQ_TODAY" hidden="1">0</definedName>
    <definedName name="IQ_YTDMONTH" hidden="1">130000</definedName>
    <definedName name="Merger_Integ_Pct">'Merger-Model'!$E$26</definedName>
    <definedName name="Months">'DLR-Op-Model'!$E$19</definedName>
    <definedName name="New_Debt">'Merger-Model'!$D$42</definedName>
    <definedName name="New_Debt_Interest">'Merger-Model'!$E$42</definedName>
    <definedName name="Num_Periods">'DLR-Op-Model'!$E$18</definedName>
    <definedName name="Offer_Price">'Merger-Model'!$E$8</definedName>
    <definedName name="Pct_Cash">'Merger-Model'!$D$15</definedName>
    <definedName name="Pref_Div_Diff">'Merger-Model'!$F$44</definedName>
    <definedName name="_xlnm.Print_Area" localSheetId="1">Summary!$A$1:$M$85</definedName>
    <definedName name="Pub_Comps_Data">#REF!</definedName>
    <definedName name="Purchase_Enterprise_Value">'Merger-Model'!$S$22</definedName>
    <definedName name="Purchase_Premium">'Merger-Model'!$E$9</definedName>
    <definedName name="Refi_Debt">'Merger-Model'!$D$43</definedName>
    <definedName name="Refi_Preferred">'Merger-Model'!$D$44</definedName>
    <definedName name="Scenario">'DFT-DCF'!#REF!</definedName>
    <definedName name="Seller_Diluted_Shares">'DFT-Op-Model'!$O$15</definedName>
    <definedName name="Seller_Ent_Value">'DFT-Op-Model'!$O$23</definedName>
    <definedName name="Seller_Eq_Value">'DFT-Op-Model'!$O$17</definedName>
    <definedName name="Seller_Hist_Year">'DFT-Op-Model'!$E$10</definedName>
    <definedName name="Seller_Min_Cash_Pct">'DFT-Op-Model'!$E$16</definedName>
    <definedName name="Seller_MRQ">'DFT-Op-Model'!$E$11</definedName>
    <definedName name="Seller_Name">'DFT-Op-Model'!$E$7</definedName>
    <definedName name="Seller_NAV_Cap_Rate_Adj">'DFT-NAV'!$E$8</definedName>
    <definedName name="Seller_Pct_Debt">'DFT-Op-Model'!$E$18</definedName>
    <definedName name="Seller_Pct_Equity">'DFT-Op-Model'!$E$19</definedName>
    <definedName name="Seller_Share_Price">'DFT-Op-Model'!$E$13</definedName>
    <definedName name="Seller_Shares">'DFT-Op-Model'!$E$14</definedName>
    <definedName name="Seller_Ticker">'DFT-Op-Model'!$E$8</definedName>
    <definedName name="Synergy_Year_1_Pct">'Merger-Model'!$E$23</definedName>
    <definedName name="Synergy_Year_2_Pct">'Merger-Model'!$E$24</definedName>
    <definedName name="Terminal_Growth_Rate">'DFT-DCF'!$O$13</definedName>
    <definedName name="Terminal_Multiple">'DFT-DCF'!$J$13</definedName>
    <definedName name="Units">'DLR-Op-Model'!$E$20</definedName>
    <definedName name="Valuation_Date">'DLR-Op-Model'!$E$13</definedName>
    <definedName name="WACC">'DFT-DCF'!$E$9</definedName>
    <definedName name="_xlnm.Print_Area" localSheetId="2">'Merger-Model'!$A$1:$AE$345</definedName>
    <definedName name="CDI_Writeup" localSheetId="3">'Merger-Model'!#REF!</definedName>
    <definedName name="_xlnm.Print_Area" localSheetId="3">'Value-Creation'!$A$1:$AR$98</definedName>
    <definedName name="Pub_Comps_Data" localSheetId="3">'Value-Creation'!$C$12:$X$17</definedName>
    <definedName name="_xlnm.Print_Area" localSheetId="4">Contrib.!$A$1:$W$123</definedName>
    <definedName name="_xlnm.Print_Area" localSheetId="5">'DLR-Op-Model'!$A$1:$AA$262</definedName>
    <definedName name="_xlnm.Print_Area" localSheetId="6">'DLR-NAV'!$A$1:$P$83</definedName>
    <definedName name="_xlnm.Print_Area" localSheetId="7">'DFT-Op-Model'!$A$1:$AA$251</definedName>
    <definedName name="_xlnm.Print_Area" localSheetId="8">'DFT-NAV'!$A$1:$P$83</definedName>
    <definedName name="_xlnm.Print_Area" localSheetId="9">'DFT-DCF'!$A$1:$W$135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BIWS</author>
  </authors>
  <commentList>
    <comment ref="L9" authorId="0">
      <text>
        <r>
          <rPr>
            <sz val="9"/>
            <rFont val="宋体"/>
            <charset val="134"/>
          </rPr>
          <t>BIWS:
In-line with the rates on the refinanced Debt.</t>
        </r>
      </text>
    </comment>
    <comment ref="M10" authorId="0">
      <text>
        <r>
          <rPr>
            <sz val="9"/>
            <rFont val="宋体"/>
            <charset val="134"/>
          </rPr>
          <t>BIWS:
FY 18 Net Income / Current Market Cap - since FY18 is the first full combined year.</t>
        </r>
      </text>
    </comment>
    <comment ref="M13" authorId="0">
      <text>
        <r>
          <rPr>
            <sz val="9"/>
            <rFont val="宋体"/>
            <charset val="134"/>
          </rPr>
          <t>BIWS:
FY 18 Net Income / Equity Purchase Price - since FY18 is the first full combined year.</t>
        </r>
      </text>
    </comment>
    <comment ref="E43" authorId="0">
      <text>
        <r>
          <rPr>
            <sz val="9"/>
            <rFont val="宋体"/>
            <charset val="134"/>
          </rPr>
          <t>BIWS:
Weighted average interest rate from purchase price allocation schedule/information.</t>
        </r>
      </text>
    </comment>
    <comment ref="E44" authorId="0">
      <text>
        <r>
          <rPr>
            <sz val="9"/>
            <rFont val="宋体"/>
            <charset val="134"/>
          </rPr>
          <t>BIWS:
5.250% Series J Cumulative Redeemable
Preferred Units.</t>
        </r>
      </text>
    </comment>
  </commentList>
</comments>
</file>

<file path=xl/comments2.xml><?xml version="1.0" encoding="utf-8"?>
<comments xmlns="http://schemas.openxmlformats.org/spreadsheetml/2006/main">
  <authors>
    <author>BIWS</author>
  </authors>
  <commentList>
    <comment ref="F20" authorId="0">
      <text>
        <r>
          <rPr>
            <sz val="9"/>
            <rFont val="宋体"/>
            <charset val="134"/>
          </rPr>
          <t>BIWS:
Midpoint of the range that BAML used in the Fairness Opinion.</t>
        </r>
      </text>
    </comment>
    <comment ref="F24" authorId="0">
      <text>
        <r>
          <rPr>
            <sz val="9"/>
            <rFont val="宋体"/>
            <charset val="134"/>
          </rPr>
          <t>BIWS:
6x to 10x multiples per the Fairness Opinion, so 8x = 12.5%.</t>
        </r>
      </text>
    </comment>
    <comment ref="H29" authorId="0">
      <text>
        <r>
          <rPr>
            <sz val="9"/>
            <rFont val="宋体"/>
            <charset val="134"/>
          </rPr>
          <t>BIWS:
Per the 20% adjustment in the Fairness Opinion.</t>
        </r>
      </text>
    </comment>
  </commentList>
</comments>
</file>

<file path=xl/comments3.xml><?xml version="1.0" encoding="utf-8"?>
<comments xmlns="http://schemas.openxmlformats.org/spreadsheetml/2006/main">
  <authors>
    <author>BIWS</author>
  </authors>
  <commentList>
    <comment ref="E15" authorId="0">
      <text>
        <r>
          <rPr>
            <sz val="9"/>
            <rFont val="宋体"/>
            <charset val="134"/>
          </rPr>
          <t>BIWS:
Company has no JVs.</t>
        </r>
      </text>
    </comment>
    <comment ref="E19" authorId="0">
      <text>
        <r>
          <rPr>
            <sz val="9"/>
            <rFont val="宋体"/>
            <charset val="134"/>
          </rPr>
          <t>BIWS:
FY 17 growth rate from projections.</t>
        </r>
      </text>
    </comment>
    <comment ref="F20" authorId="0">
      <text>
        <r>
          <rPr>
            <sz val="9"/>
            <rFont val="宋体"/>
            <charset val="134"/>
          </rPr>
          <t>BIWS:
Cap Rates between 6.25% and 7.75% per Fairness Opinion.</t>
        </r>
      </text>
    </comment>
    <comment ref="E22" authorId="0">
      <text>
        <r>
          <rPr>
            <sz val="9"/>
            <rFont val="宋体"/>
            <charset val="134"/>
          </rPr>
          <t>BIWS:
Company has no JVs.</t>
        </r>
      </text>
    </comment>
    <comment ref="F24" authorId="0">
      <text>
        <r>
          <rPr>
            <sz val="9"/>
            <rFont val="宋体"/>
            <charset val="134"/>
          </rPr>
          <t>BIWS:
Between a 5x and 7x multiple per Fairness Opinion.</t>
        </r>
      </text>
    </comment>
    <comment ref="H28" authorId="0">
      <text>
        <r>
          <rPr>
            <sz val="9"/>
            <rFont val="宋体"/>
            <charset val="134"/>
          </rPr>
          <t>BIWS:
No information on the backlog for DFT.</t>
        </r>
      </text>
    </comment>
    <comment ref="H32" authorId="0">
      <text>
        <r>
          <rPr>
            <sz val="9"/>
            <rFont val="宋体"/>
            <charset val="134"/>
          </rPr>
          <t>BIWS:
No information on this in DFT's filings.</t>
        </r>
      </text>
    </comment>
    <comment ref="H36" authorId="0">
      <text>
        <r>
          <rPr>
            <sz val="9"/>
            <rFont val="宋体"/>
            <charset val="134"/>
          </rPr>
          <t>BIWS:
No JVs.</t>
        </r>
      </text>
    </comment>
    <comment ref="H45" authorId="0">
      <text>
        <r>
          <rPr>
            <sz val="9"/>
            <rFont val="宋体"/>
            <charset val="134"/>
          </rPr>
          <t>BIWS:
No JVs.</t>
        </r>
      </text>
    </comment>
    <comment ref="H46" authorId="0">
      <text>
        <r>
          <rPr>
            <sz val="9"/>
            <rFont val="宋体"/>
            <charset val="134"/>
          </rPr>
          <t>BIWS:
No information on this.</t>
        </r>
      </text>
    </comment>
  </commentList>
</comments>
</file>

<file path=xl/comments4.xml><?xml version="1.0" encoding="utf-8"?>
<comments xmlns="http://schemas.openxmlformats.org/spreadsheetml/2006/main">
  <authors>
    <author>BIWS</author>
  </authors>
  <commentList>
    <comment ref="E8" authorId="0">
      <text>
        <r>
          <rPr>
            <sz val="9"/>
            <rFont val="宋体"/>
            <charset val="134"/>
          </rPr>
          <t>BIWS:
According to GS Fairness Opinion.</t>
        </r>
      </text>
    </comment>
    <comment ref="G82" authorId="0">
      <text>
        <r>
          <rPr>
            <sz val="9"/>
            <rFont val="宋体"/>
            <charset val="134"/>
          </rPr>
          <t>BIWS:
Subtracting the results from Q1 here since it has already been reported; stub period is Q2 - Q4.</t>
        </r>
      </text>
    </comment>
    <comment ref="G84" authorId="0">
      <text>
        <r>
          <rPr>
            <sz val="9"/>
            <rFont val="宋体"/>
            <charset val="134"/>
          </rPr>
          <t>BIWS:
Based on % of year remaining between valuation date and Dec 31 of this year.</t>
        </r>
      </text>
    </comment>
    <comment ref="G96" authorId="0">
      <text>
        <r>
          <rPr>
            <sz val="9"/>
            <rFont val="宋体"/>
            <charset val="134"/>
          </rPr>
          <t>BIWS:
Subtracting Q1 results just in case - even though no stock was issued.</t>
        </r>
      </text>
    </comment>
  </commentList>
</comments>
</file>

<file path=xl/sharedStrings.xml><?xml version="1.0" encoding="utf-8"?>
<sst xmlns="http://schemas.openxmlformats.org/spreadsheetml/2006/main" count="2102" uniqueCount="838">
  <si>
    <t xml:space="preserve">墨尔本大学 </t>
  </si>
  <si>
    <t>Master of Data Science</t>
  </si>
  <si>
    <t>Master of Finance  Enhanced或者Master of Finance</t>
  </si>
  <si>
    <t>Master of Digital Marketing</t>
  </si>
  <si>
    <t>悉尼大学</t>
  </si>
  <si>
    <t>Master of Commerce</t>
  </si>
  <si>
    <t>Master of Accounting</t>
  </si>
  <si>
    <t>UNSW</t>
  </si>
  <si>
    <t>Master of Financial Mathematics</t>
  </si>
  <si>
    <t>Master of Finance</t>
  </si>
  <si>
    <t>澳国立</t>
  </si>
  <si>
    <t>Master of Statistical Data Analytics</t>
  </si>
  <si>
    <t>Master of Financial Economics</t>
  </si>
  <si>
    <t>Transaction Summary and Key Terms:</t>
  </si>
  <si>
    <t>Acquirer / Target:</t>
  </si>
  <si>
    <t>Acquisition Close Date:</t>
  </si>
  <si>
    <t>Exchange Ratio:</t>
  </si>
  <si>
    <t>Implied Offer Price:</t>
  </si>
  <si>
    <t>Ownership According to Contribution Analysis</t>
  </si>
  <si>
    <t>Actual:</t>
  </si>
  <si>
    <t>NAV</t>
  </si>
  <si>
    <t>EBITDA:</t>
  </si>
  <si>
    <t>FFO:</t>
  </si>
  <si>
    <t>AFFO:</t>
  </si>
  <si>
    <t>Gross</t>
  </si>
  <si>
    <t>(Pre-Synergies and Pre-Acquisition Effects):</t>
  </si>
  <si>
    <t>Deal:</t>
  </si>
  <si>
    <t>MRQ</t>
  </si>
  <si>
    <t>RE Assets:</t>
  </si>
  <si>
    <t>Acquirer:</t>
  </si>
  <si>
    <t>Target:</t>
  </si>
  <si>
    <t>Value Creation Analysis</t>
  </si>
  <si>
    <t>EV / EBITDA</t>
  </si>
  <si>
    <t>P / FFO</t>
  </si>
  <si>
    <t>P / AFFO</t>
  </si>
  <si>
    <t>(Post-Synergies/Acquisition Effects):</t>
  </si>
  <si>
    <t>Purchase Consideration:</t>
  </si>
  <si>
    <t>Cost Synergies:</t>
  </si>
  <si>
    <t>Operating Real Estate Asset Write-Up:</t>
  </si>
  <si>
    <t>Restructuring Charge:</t>
  </si>
  <si>
    <t>Land &amp; Construction-in-Progress Write-Up:</t>
  </si>
  <si>
    <t>100.0% Realized in Year 1; Nothing Thereafter</t>
  </si>
  <si>
    <t>In-Place Lease Value:</t>
  </si>
  <si>
    <t>Above-Market Leases:</t>
  </si>
  <si>
    <t>Below-Market Leases:</t>
  </si>
  <si>
    <t>Historical:</t>
  </si>
  <si>
    <t>Projected:</t>
  </si>
  <si>
    <t>Financial Metrics and Ratios:</t>
  </si>
  <si>
    <t>$ M</t>
  </si>
  <si>
    <t>Combined:</t>
  </si>
  <si>
    <t>Funds from Operations (FFO):</t>
  </si>
  <si>
    <t>Adjusted Funds from Operations (AFFO):</t>
  </si>
  <si>
    <t>Gross Real Estate Assets:</t>
  </si>
  <si>
    <t>Acquisition Effects:</t>
  </si>
  <si>
    <t>Total Impact of Acquisition on Pre-Tax Income:</t>
  </si>
  <si>
    <t>Accretion / (Dilution):</t>
  </si>
  <si>
    <t>%</t>
  </si>
  <si>
    <t>Credit Stats and Ratios:</t>
  </si>
  <si>
    <t>x</t>
  </si>
  <si>
    <t>Transaction Assumptions:</t>
  </si>
  <si>
    <t>Units:</t>
  </si>
  <si>
    <t xml:space="preserve">Pre-Tax </t>
  </si>
  <si>
    <t xml:space="preserve">After-Tax </t>
  </si>
  <si>
    <t>Exercise</t>
  </si>
  <si>
    <t>Implied Offer Price for Seller:</t>
  </si>
  <si>
    <t>$ as Stated</t>
  </si>
  <si>
    <t>Acquisition Funding:</t>
  </si>
  <si>
    <t>%:</t>
  </si>
  <si>
    <t>Amount:</t>
  </si>
  <si>
    <t>Cost:</t>
  </si>
  <si>
    <t>Seller Share Count:</t>
  </si>
  <si>
    <t>Number:</t>
  </si>
  <si>
    <t>Price:</t>
  </si>
  <si>
    <t>Dilution:</t>
  </si>
  <si>
    <t>Implied Premium to Seller's Share Price:</t>
  </si>
  <si>
    <t>Senior Notes:</t>
  </si>
  <si>
    <t>Basic Shares:</t>
  </si>
  <si>
    <t>Common Equity:</t>
  </si>
  <si>
    <t>Equity Purchase Price:</t>
  </si>
  <si>
    <t>New Shares Issued (Millions):</t>
  </si>
  <si>
    <t>Date</t>
  </si>
  <si>
    <t>Weighted Average Acquisition Cost:</t>
  </si>
  <si>
    <t>Target's "Yield":</t>
  </si>
  <si>
    <t>% Cash Consideration:</t>
  </si>
  <si>
    <t>Diluted Shares Outstanding @ Offer Price:</t>
  </si>
  <si>
    <t>Total Cash Consideration (via New Debt):</t>
  </si>
  <si>
    <t>Fees:</t>
  </si>
  <si>
    <t>Treatment:</t>
  </si>
  <si>
    <t>Advisory Fee %:</t>
  </si>
  <si>
    <t>Expensed.</t>
  </si>
  <si>
    <t>Purchase Equity Value:</t>
  </si>
  <si>
    <t>% Stock Consideration:</t>
  </si>
  <si>
    <t>Debt Issuance Fee %:</t>
  </si>
  <si>
    <t>Deducted from BV of Debt.</t>
  </si>
  <si>
    <t>(-) Cash &amp; Cash-Equivalents:</t>
  </si>
  <si>
    <t>Total Stock Consideration:</t>
  </si>
  <si>
    <t>Preferred Issuance Fee %:</t>
  </si>
  <si>
    <t>Deducted from BV of Preferred.</t>
  </si>
  <si>
    <t>(-) Equity Investments &amp; Non-Core Assets:</t>
  </si>
  <si>
    <t>Legal and Other Fees:</t>
  </si>
  <si>
    <t>(+) Total Debt:</t>
  </si>
  <si>
    <t>Synergy Assumptions:</t>
  </si>
  <si>
    <t>Total Fees:</t>
  </si>
  <si>
    <t>(+) Preferred Stock:</t>
  </si>
  <si>
    <t>Annual Cost Synergies:</t>
  </si>
  <si>
    <t>(+) Non-OP Noncontrolling Interests:</t>
  </si>
  <si>
    <t>Current</t>
  </si>
  <si>
    <t>Offer</t>
  </si>
  <si>
    <t>Public</t>
  </si>
  <si>
    <t>Purchase Enterprise Value:</t>
  </si>
  <si>
    <t>% Cost Synergies Realized in Year 1:</t>
  </si>
  <si>
    <t>Valuation Multiples:</t>
  </si>
  <si>
    <t>Comps:</t>
  </si>
  <si>
    <t>Buyer:</t>
  </si>
  <si>
    <t>% Cost Synergies Realized in Year 2 and Beyond:</t>
  </si>
  <si>
    <t>Merger &amp; Integration Costs % Total Cost Synergies:</t>
  </si>
  <si>
    <t>(Incurred within Year 1 following acquisition close)</t>
  </si>
  <si>
    <t>Sources &amp; Uses of Funds:</t>
  </si>
  <si>
    <t>Post-Transaction Minimum Cash Balance:</t>
  </si>
  <si>
    <t>Post-Transaction Combined Cash Balance:</t>
  </si>
  <si>
    <t>Cash Available for Transaction Fees:</t>
  </si>
  <si>
    <t>Cash Used for Transaction Fees:</t>
  </si>
  <si>
    <t>Debt Issued for Transaction Fees:</t>
  </si>
  <si>
    <t>Interest/Coupon</t>
  </si>
  <si>
    <t>Sources:</t>
  </si>
  <si>
    <t>Rate:</t>
  </si>
  <si>
    <t>Differential:</t>
  </si>
  <si>
    <t>Uses:</t>
  </si>
  <si>
    <t>Senior Notes Issued:</t>
  </si>
  <si>
    <t>Equity Purchase Price of Target:</t>
  </si>
  <si>
    <t>Refinance Target's Debt:</t>
  </si>
  <si>
    <t>Refinance Target's Preferred Stock:</t>
  </si>
  <si>
    <t>Common Stock Issued:</t>
  </si>
  <si>
    <t>Transaction Fees:</t>
  </si>
  <si>
    <t>Cash for Transaction Fees:</t>
  </si>
  <si>
    <t>Financing Fees:</t>
  </si>
  <si>
    <t>Total Sources:</t>
  </si>
  <si>
    <t>Total Uses:</t>
  </si>
  <si>
    <t>CHECK:</t>
  </si>
  <si>
    <t>Purchase Price Allocation:</t>
  </si>
  <si>
    <t>Goodwill Calculation:</t>
  </si>
  <si>
    <t>Real Estate Asset Write-Ups:</t>
  </si>
  <si>
    <t>Tenant Relationship Value:</t>
  </si>
  <si>
    <t>Estimated Discount to Market Value:</t>
  </si>
  <si>
    <t>NTM Rental Income - Existing Properties:</t>
  </si>
  <si>
    <t>(-) Seller Common Book Value:</t>
  </si>
  <si>
    <t>Operating Real Estate Asset Market Value:</t>
  </si>
  <si>
    <t>Weighted Average Lease Term (Years):</t>
  </si>
  <si>
    <t>(+) Write-Off of Existing Goodwill:</t>
  </si>
  <si>
    <t>Write-Up of Operating Real Estate Assets:</t>
  </si>
  <si>
    <t>Annual Growth Rate:</t>
  </si>
  <si>
    <t>Total Allocable Purchase Premium:</t>
  </si>
  <si>
    <t>Depreciation Period (Years):</t>
  </si>
  <si>
    <t>Rental Income At End of Lease Term:</t>
  </si>
  <si>
    <t>NOI Margin At End of Lease Term:</t>
  </si>
  <si>
    <t>(-) Write-Up of Operating Real Estate Assets:</t>
  </si>
  <si>
    <t>Market Value Adjustment for Land &amp; CIP:</t>
  </si>
  <si>
    <t>Net Operating Income:</t>
  </si>
  <si>
    <t>(-) Write-Up of Land &amp; Construction in Progress:</t>
  </si>
  <si>
    <t>Land &amp; CIP Fair Value:</t>
  </si>
  <si>
    <t>(-) Elimination of Accumulated Depreciation:</t>
  </si>
  <si>
    <t>Renewal Probability:</t>
  </si>
  <si>
    <t>(+) Elimination of Deferred Rent:</t>
  </si>
  <si>
    <t>Write-Up of Land &amp; CIP:</t>
  </si>
  <si>
    <t>Renewal NOI:</t>
  </si>
  <si>
    <t>(-) Acquired Above-Market Leases:</t>
  </si>
  <si>
    <t>Applicable Capitalization Rate:</t>
  </si>
  <si>
    <t>(+) Acquired Below-Market Leases:</t>
  </si>
  <si>
    <t>Value of Tenant Relationships:</t>
  </si>
  <si>
    <t>(-) Acquired In-Place Lease Value:</t>
  </si>
  <si>
    <t>Discount Rate:</t>
  </si>
  <si>
    <t>Total Goodwill Created:</t>
  </si>
  <si>
    <t>PV of Tenant Relationships:</t>
  </si>
  <si>
    <t>Amortization Period (Years):</t>
  </si>
  <si>
    <t>Above-Market and Below-Market Leases:</t>
  </si>
  <si>
    <t>% Rental Income - Above-Market Leases:</t>
  </si>
  <si>
    <t>% Rental Income - Below-Market Leases:</t>
  </si>
  <si>
    <t>Average In-Place Differential to Market Rent:</t>
  </si>
  <si>
    <t>Above-Market Rent Portion:</t>
  </si>
  <si>
    <t>Below-Market Rent Portion:</t>
  </si>
  <si>
    <t>Value of Above-Market Leases:</t>
  </si>
  <si>
    <t>Value of Below-Market Leases:</t>
  </si>
  <si>
    <t>Fiscal Year:</t>
  </si>
  <si>
    <t>Combined Year #:</t>
  </si>
  <si>
    <t>Buyer Tax Rate:</t>
  </si>
  <si>
    <t>Transaction Adjustments:</t>
  </si>
  <si>
    <t>Income Statement:</t>
  </si>
  <si>
    <t>Seller</t>
  </si>
  <si>
    <t>Debit</t>
  </si>
  <si>
    <t>Credit</t>
  </si>
  <si>
    <t>Revenue:</t>
  </si>
  <si>
    <t>(+) Rental Income - Existing Properties:</t>
  </si>
  <si>
    <t>(+) Rental Income - Developments:</t>
  </si>
  <si>
    <t>(-) Amortization of Acquired Above-Market Leases:</t>
  </si>
  <si>
    <t>(+) Amortization of Acquired Below-Market Leases:</t>
  </si>
  <si>
    <t>(+) Tenant Reimbursements - Existing Properties:</t>
  </si>
  <si>
    <t>(+) Tenant Reimbursements - Developments:</t>
  </si>
  <si>
    <t>(+) Property Management Fees:</t>
  </si>
  <si>
    <t>(+) Interconnection Fees:</t>
  </si>
  <si>
    <t>(+) Other Income:</t>
  </si>
  <si>
    <t>Total Revenue:</t>
  </si>
  <si>
    <t>Operating Expenses:</t>
  </si>
  <si>
    <t>(-) Property Expenses - Existing Properties:</t>
  </si>
  <si>
    <t>(-) Property Expenses - Developments:</t>
  </si>
  <si>
    <t>(+) Annual Cost Synergies:</t>
  </si>
  <si>
    <t>(-) Restructuring and Merger Integration Costs:</t>
  </si>
  <si>
    <t>(-) Amortization of Acquired In-Place Lease Value:</t>
  </si>
  <si>
    <t>(-) Depreciation of Real Estate Asset Write-Ups:</t>
  </si>
  <si>
    <t>(-) General &amp; Administrative:</t>
  </si>
  <si>
    <t>(-) Depreciation &amp; Amortization:</t>
  </si>
  <si>
    <t>(-) Other Items:</t>
  </si>
  <si>
    <t>Total Operating Expenses:</t>
  </si>
  <si>
    <t>Operating Income:</t>
  </si>
  <si>
    <t>(+) Equity Investment Income:</t>
  </si>
  <si>
    <t>(+) Gain / (-) Loss on Real Estate Transactions:</t>
  </si>
  <si>
    <t>(-) Net Interest Expense:</t>
  </si>
  <si>
    <t>(+/-) Change in Target's Interest from Refinancing:</t>
  </si>
  <si>
    <t>(-) Interest Expense on Transaction Debt:</t>
  </si>
  <si>
    <t>(-) Loss from Debt Extinguishment:</t>
  </si>
  <si>
    <t>Pre-Tax Income:</t>
  </si>
  <si>
    <t>(-) Income Taxes:</t>
  </si>
  <si>
    <t>Net Income:</t>
  </si>
  <si>
    <t>(-) Net Income Attributable to NCI:</t>
  </si>
  <si>
    <t>Net Income Attributable to Parent:</t>
  </si>
  <si>
    <t>(-) Preferred Stock Dividends:</t>
  </si>
  <si>
    <t>(+/-) Change in Pref. Dividends from Refinancing:</t>
  </si>
  <si>
    <t>(-) Preferred Stock Issuance Costs:</t>
  </si>
  <si>
    <t>Net Income to Common:</t>
  </si>
  <si>
    <t>Weighted Average Diluted Common Shares:</t>
  </si>
  <si>
    <t># Millions</t>
  </si>
  <si>
    <t>(+) Shares Issued to Fund Transaction:</t>
  </si>
  <si>
    <t>Post-Transaction Avg. Diluted Common Shares:</t>
  </si>
  <si>
    <t>Pre-Transaction Diluted EPS:</t>
  </si>
  <si>
    <t>Post-Transaction Diluted EPS:</t>
  </si>
  <si>
    <t>EPS Accretion / (Dilution) - $:</t>
  </si>
  <si>
    <t>EPS Accretion / (Dilution) - %:</t>
  </si>
  <si>
    <t>Weighted Average Diluted Common Shares &amp; Units:</t>
  </si>
  <si>
    <t>Post-Trans. Avg. Diluted Common Shares &amp; Units:</t>
  </si>
  <si>
    <t>Pre-Transaction FFO per Diluted Share &amp; Unit:</t>
  </si>
  <si>
    <t>Post-Transaction FFO per Diluted Share &amp; Unit:</t>
  </si>
  <si>
    <t>FFO PS Accretion / (Dilution) - $:</t>
  </si>
  <si>
    <t>FFO PS Accretion / (Dilution) - %:</t>
  </si>
  <si>
    <t>Pre-Transaction AFFO per Diluted Share &amp; Unit:</t>
  </si>
  <si>
    <t>Post-Transaction AFFO per Diluted Share &amp; Unit:</t>
  </si>
  <si>
    <t>AFFO PS Accretion / (Dilution) - $:</t>
  </si>
  <si>
    <t>AFFO PS Accretion / (Dilution) - %:</t>
  </si>
  <si>
    <t>Balance Sheet:</t>
  </si>
  <si>
    <t>ASSETS:</t>
  </si>
  <si>
    <t>Real Estate Assets:</t>
  </si>
  <si>
    <t>(+) Operating Real Estate Assets:</t>
  </si>
  <si>
    <t>(+) Construction in Progress and Development Land:</t>
  </si>
  <si>
    <t>(-) Accumulated Depreciation:</t>
  </si>
  <si>
    <t>Net Real Estate Assets:</t>
  </si>
  <si>
    <t>Cash &amp; Cash-Equivalents:</t>
  </si>
  <si>
    <t>Accounts Receivable:</t>
  </si>
  <si>
    <t>Deferred Rent:</t>
  </si>
  <si>
    <t>Goodwill:</t>
  </si>
  <si>
    <t>Equity Investments:</t>
  </si>
  <si>
    <t>Other Intangibles &amp; Net Above-Market Leases:</t>
  </si>
  <si>
    <t>Acquired In-Place Lease Value:</t>
  </si>
  <si>
    <t>Other Assets:</t>
  </si>
  <si>
    <t>TOTAL ASSETS:</t>
  </si>
  <si>
    <t>LIABILITIES &amp; EQUITY:</t>
  </si>
  <si>
    <t>Debt &amp; Other Borrowings:</t>
  </si>
  <si>
    <t>Accounts Payable &amp; Other Accruals:</t>
  </si>
  <si>
    <t>Other Liabilities:</t>
  </si>
  <si>
    <t>Total Liabilities:</t>
  </si>
  <si>
    <t>Common Shareholders' Equity:</t>
  </si>
  <si>
    <t>(+) Noncontrolling Interests in Op. Partnership:</t>
  </si>
  <si>
    <t>(+) Noncontrolling Interests in Consolidated JVs:</t>
  </si>
  <si>
    <t>Total Equity:</t>
  </si>
  <si>
    <t>TOTAL LIABILITIES &amp; EQUITY:</t>
  </si>
  <si>
    <t>Balance Check:</t>
  </si>
  <si>
    <t>Cash Flow Statement:</t>
  </si>
  <si>
    <t>Cash Flow from Operations:</t>
  </si>
  <si>
    <t>(+) Net Income to Common:</t>
  </si>
  <si>
    <t>(+) Net Income Attributable to NCI:</t>
  </si>
  <si>
    <t>(-) Equity Investment Income:</t>
  </si>
  <si>
    <t>(+) Distributions from Equity Investments:</t>
  </si>
  <si>
    <t>(+) Depreciation &amp; Amortization:</t>
  </si>
  <si>
    <t>(+) Depreciation of Real Estate Asset Write-Ups:</t>
  </si>
  <si>
    <t>(-) Gain / (+) Loss on Real Estate Transactions:</t>
  </si>
  <si>
    <t>(+/-) Straight-Lining of Rent &amp; Expenses, Net:</t>
  </si>
  <si>
    <t>(+/-) Elimination of Target's Straight-Lining, Net:</t>
  </si>
  <si>
    <t>(+/-) Above/Below-Market Rent Amortization:</t>
  </si>
  <si>
    <t>(+) Amortization of Acquired Above-Market Leases:</t>
  </si>
  <si>
    <t>(-) Amortization of Acquired Below-Market Leases:</t>
  </si>
  <si>
    <t>(+) Amortization of Acquired In-Place Lease Value:</t>
  </si>
  <si>
    <t>(+/-) Change in Goodwill:</t>
  </si>
  <si>
    <t>(+/-) Other Items, Net:</t>
  </si>
  <si>
    <t>(+/-) Change in Working Capital:</t>
  </si>
  <si>
    <t>Cash Flow from Investing:</t>
  </si>
  <si>
    <t>(-) Recurring Maintenance CapEx:</t>
  </si>
  <si>
    <t>(-) Capitalized Leasing Commissions:</t>
  </si>
  <si>
    <t>(-) Acquisitions &amp; Developments:</t>
  </si>
  <si>
    <t>(-) Sale of Real Estate Assets:</t>
  </si>
  <si>
    <t>Cash Flow from Financing:</t>
  </si>
  <si>
    <t>(+/-) Net Change in Debt:</t>
  </si>
  <si>
    <t>(+/-) Net Change in Preferred Stock:</t>
  </si>
  <si>
    <t>(+) Stock Issuances / (-) Repurchases:</t>
  </si>
  <si>
    <t>(-) Common Dividends:</t>
  </si>
  <si>
    <t>(+/-) Other Financing Activities, Net:</t>
  </si>
  <si>
    <t>(+) Net Change in Cash &amp; Cash-Equivalents:</t>
  </si>
  <si>
    <t>(+) Beginning Cash:</t>
  </si>
  <si>
    <t>Ending Cash:</t>
  </si>
  <si>
    <t>Cash Flow Statement Drivers:</t>
  </si>
  <si>
    <t>(+) Real Estate-Related Depreciation &amp; Amortization:</t>
  </si>
  <si>
    <t>(+/-) Other Adjustments:</t>
  </si>
  <si>
    <t>(+) Unconsolidated JV Depreciation:</t>
  </si>
  <si>
    <t>(+) Non-RE Depreciation:</t>
  </si>
  <si>
    <t>Dividends % AFFO:</t>
  </si>
  <si>
    <t>Debt Issued:</t>
  </si>
  <si>
    <t>Equity Issued:</t>
  </si>
  <si>
    <t>Shares Issued:</t>
  </si>
  <si>
    <t>Key Metrics and Ratios:</t>
  </si>
  <si>
    <t>Annualized EBITDA:</t>
  </si>
  <si>
    <t>EBITDA Growth:</t>
  </si>
  <si>
    <t>EBITDA Margin:</t>
  </si>
  <si>
    <t>Annualized Net Operating Income (NOI):</t>
  </si>
  <si>
    <t>NOI Growth:</t>
  </si>
  <si>
    <t>Yield on Total Gross Real Estate Assets:</t>
  </si>
  <si>
    <t>Dividends per Share:</t>
  </si>
  <si>
    <t>Annualized Dividend Yield:</t>
  </si>
  <si>
    <t>EBITDA / Net Interest:</t>
  </si>
  <si>
    <t>Minimum Coverage Required:</t>
  </si>
  <si>
    <t>EBITDA / Fixed Charges:</t>
  </si>
  <si>
    <t>Debt / EBITDA:</t>
  </si>
  <si>
    <t>Net Debt / EBITDA:</t>
  </si>
  <si>
    <t>(Net Debt + Preferred) / EBITDA:</t>
  </si>
  <si>
    <t>Cap Rate Applied to Annualized EBITDA:</t>
  </si>
  <si>
    <t>Total Asset Value:</t>
  </si>
  <si>
    <t>Total Debt / Total Assets:</t>
  </si>
  <si>
    <t>Maximum Level Allowed:</t>
  </si>
  <si>
    <t>Sensitivity Analyses - FY 18 AFFO per Share &amp; Unit Accretion/Dilution</t>
  </si>
  <si>
    <t>% Cash Funding via New Debt Issued:</t>
  </si>
  <si>
    <t>Annualized Cost Synergies:</t>
  </si>
  <si>
    <t>Sensitivity Analyses - FY 19 AFFO per Share &amp; Unit Accretion/Dilution</t>
  </si>
  <si>
    <t>Operating Statistics:</t>
  </si>
  <si>
    <t>Leverage</t>
  </si>
  <si>
    <t xml:space="preserve">Funds </t>
  </si>
  <si>
    <t xml:space="preserve">Adjusted Funds </t>
  </si>
  <si>
    <t>Year 1</t>
  </si>
  <si>
    <t>Year 2</t>
  </si>
  <si>
    <t>Share</t>
  </si>
  <si>
    <t>Diluted</t>
  </si>
  <si>
    <t>Equity</t>
  </si>
  <si>
    <t>Enterprise</t>
  </si>
  <si>
    <t>Total</t>
  </si>
  <si>
    <t>Real Estate</t>
  </si>
  <si>
    <t>(Debt to</t>
  </si>
  <si>
    <t>EBITDA</t>
  </si>
  <si>
    <t>from Operations (FFO)</t>
  </si>
  <si>
    <t>from Operations (AFFO)</t>
  </si>
  <si>
    <t>FFO</t>
  </si>
  <si>
    <t>AFFO</t>
  </si>
  <si>
    <t>Company Name</t>
  </si>
  <si>
    <t>Ticker</t>
  </si>
  <si>
    <t>Price</t>
  </si>
  <si>
    <t>Shares</t>
  </si>
  <si>
    <t>Value</t>
  </si>
  <si>
    <t>Assets</t>
  </si>
  <si>
    <t>Total Assets)</t>
  </si>
  <si>
    <t>Growth</t>
  </si>
  <si>
    <t>Standalone Entities:</t>
  </si>
  <si>
    <t>Closest Comparable Public Company for Combined Entity:</t>
  </si>
  <si>
    <t>Combined Entity - Post-Transaction and Acquisition Effects:</t>
  </si>
  <si>
    <t>Valuation Statistics:</t>
  </si>
  <si>
    <t>Equity Value /</t>
  </si>
  <si>
    <t>Metric</t>
  </si>
  <si>
    <t>DLR</t>
  </si>
  <si>
    <t>EQIX</t>
  </si>
  <si>
    <t>DLR + DFT</t>
  </si>
  <si>
    <t>Year 1 EBITDA Growth</t>
  </si>
  <si>
    <t>Year 2 EBITDA Growth</t>
  </si>
  <si>
    <t>Year 1 FFO Growth</t>
  </si>
  <si>
    <t>Year 2 FFO Growth</t>
  </si>
  <si>
    <t>Year 1 AFFO Growth</t>
  </si>
  <si>
    <t>Year 2 AFFO Growth</t>
  </si>
  <si>
    <t>Year 1 EBITDA</t>
  </si>
  <si>
    <t>Combined Entity - Implied Enterprise Value:</t>
  </si>
  <si>
    <t>Year 2 EBITDA</t>
  </si>
  <si>
    <t>(+) Cash &amp; Cash-Equivalents:</t>
  </si>
  <si>
    <t>Year 1 FFO</t>
  </si>
  <si>
    <t>(+) Equity Investments &amp; Non-Core Assets:</t>
  </si>
  <si>
    <t>Year 2 FFO</t>
  </si>
  <si>
    <t>(-) Total Debt:</t>
  </si>
  <si>
    <t>Year 1 AFFO</t>
  </si>
  <si>
    <t>(-) Preferred Stock:</t>
  </si>
  <si>
    <t>Year 2 AFFO</t>
  </si>
  <si>
    <t>(-) Non-OP Noncontrolling Interests:</t>
  </si>
  <si>
    <t>Combined Entity - Implied Equity Value:</t>
  </si>
  <si>
    <t>FY 17 EV / EBITDA</t>
  </si>
  <si>
    <t>Combined Entity - Diluted Share &amp; Unit Count:</t>
  </si>
  <si>
    <t>FY 18 EV / EBITDA</t>
  </si>
  <si>
    <t>FY 19 EV / EBITDA</t>
  </si>
  <si>
    <t>Combined Entity - Implied Share Price:</t>
  </si>
  <si>
    <t>FY 17 P / FFO</t>
  </si>
  <si>
    <t>Buyer - Share Price Prior to Transaction:</t>
  </si>
  <si>
    <t>FY 18 P / FFO</t>
  </si>
  <si>
    <t>FY 19 P / FFO</t>
  </si>
  <si>
    <t>Per-Share Value Created:</t>
  </si>
  <si>
    <t>FY 17 P / AFFO</t>
  </si>
  <si>
    <t>FY 18 P / AFFO</t>
  </si>
  <si>
    <t>Per-Share Value of Purchase Premium:</t>
  </si>
  <si>
    <t>FY 19 P / AFFO</t>
  </si>
  <si>
    <t>Sensitivity Analyses - Per-Share Value Created in Transaction:</t>
  </si>
  <si>
    <t>Combined Entity - FY 19 P / FFO Multiple:</t>
  </si>
  <si>
    <t>Combined Entity - FY 19 P / AFFO Multiple:</t>
  </si>
  <si>
    <t>Seller - Equity Value and Enterprise Value:</t>
  </si>
  <si>
    <t>Buyer - Equity Value and Enterprise Value:</t>
  </si>
  <si>
    <t>Current Equity Value:</t>
  </si>
  <si>
    <t>Current Enterprise Value:</t>
  </si>
  <si>
    <t>Combined</t>
  </si>
  <si>
    <t>Implied</t>
  </si>
  <si>
    <t>Relative Contribution Analysis:</t>
  </si>
  <si>
    <t>Contribution ($):</t>
  </si>
  <si>
    <t>Contribution (%):</t>
  </si>
  <si>
    <t>Pro-Forma Value:</t>
  </si>
  <si>
    <t>Seller Value:</t>
  </si>
  <si>
    <t>Implied Figures in 100% Stock Deal:</t>
  </si>
  <si>
    <t>Exchange</t>
  </si>
  <si>
    <t>Purchase</t>
  </si>
  <si>
    <t>Variance to</t>
  </si>
  <si>
    <t>Equity Value:</t>
  </si>
  <si>
    <t>Seller:</t>
  </si>
  <si>
    <t>Pro-Forma:</t>
  </si>
  <si>
    <t>Value:</t>
  </si>
  <si>
    <t>Ratio:</t>
  </si>
  <si>
    <t>Offer Price:</t>
  </si>
  <si>
    <t>Undisturbed Equity Value:</t>
  </si>
  <si>
    <t>Net Operating Income (NOI):</t>
  </si>
  <si>
    <t>Net Asset Value (NAV):</t>
  </si>
  <si>
    <t>Most Recent Quarter Prior to Deal Announcement:</t>
  </si>
  <si>
    <t>Balance Sheet Items as of Transaction Close Date (Ignores Acquisition Effects):</t>
  </si>
  <si>
    <t>Total Assets:</t>
  </si>
  <si>
    <t>Data for Use in Charts:</t>
  </si>
  <si>
    <t>Implied Price:</t>
  </si>
  <si>
    <t>Current Deal Terms</t>
  </si>
  <si>
    <t>($ USD in Millions Except Per Share and Per Unit Amounts in USD as Stated)</t>
  </si>
  <si>
    <t>Operating Assumptions:</t>
  </si>
  <si>
    <t>Company Name:</t>
  </si>
  <si>
    <t>Name</t>
  </si>
  <si>
    <t>Digital Realty Trust, Inc.</t>
  </si>
  <si>
    <t>Ticker:</t>
  </si>
  <si>
    <t>Dilutive Securities:</t>
  </si>
  <si>
    <t>Company Type:</t>
  </si>
  <si>
    <t>Data Center REIT</t>
  </si>
  <si>
    <t>Options A:</t>
  </si>
  <si>
    <t>Last Historical Year:</t>
  </si>
  <si>
    <t>Incentive Units:</t>
  </si>
  <si>
    <t>Most Recent Quarter:</t>
  </si>
  <si>
    <t>OP Units:</t>
  </si>
  <si>
    <t>RSUs:</t>
  </si>
  <si>
    <t>Valuation Date:</t>
  </si>
  <si>
    <t>Total:</t>
  </si>
  <si>
    <t>Share Price as of Valuation Date:</t>
  </si>
  <si>
    <t>Basic Shares Outstanding:</t>
  </si>
  <si>
    <t>Diluted Shares Outstanding:</t>
  </si>
  <si>
    <t>Average Tax Rate:</t>
  </si>
  <si>
    <t># of Periods in Each Model Year:</t>
  </si>
  <si>
    <t>#</t>
  </si>
  <si>
    <t>Months in Year:</t>
  </si>
  <si>
    <t>Conversion Units:</t>
  </si>
  <si>
    <t>Minimum Cash % Annual Cash Operating Expenses:</t>
  </si>
  <si>
    <t>Future Funding Requirements - % Debt:</t>
  </si>
  <si>
    <t>Future Funding Requirements - % Equity:</t>
  </si>
  <si>
    <t>Diluted EPS:</t>
  </si>
  <si>
    <t>FFO per Diluted Share &amp; Unit:</t>
  </si>
  <si>
    <t>AFFO per Diluted Share &amp; Unit:</t>
  </si>
  <si>
    <t>Income Statement Drivers:</t>
  </si>
  <si>
    <t>Same-Store, Same-Capital Rent - YoY Growth:</t>
  </si>
  <si>
    <t>Property Expenses % Rental Income:</t>
  </si>
  <si>
    <t>Tenant Reimbursements % Property Expenses:</t>
  </si>
  <si>
    <t>NOI Margin on Existing Properties:</t>
  </si>
  <si>
    <t>Development Spending:</t>
  </si>
  <si>
    <t>Completed &amp; Stabilized Developments:</t>
  </si>
  <si>
    <t>Average Stabilized Yield:</t>
  </si>
  <si>
    <t>NOI from Stabilized Development:</t>
  </si>
  <si>
    <t>Rent + Tenant Reimbursements from Developments:</t>
  </si>
  <si>
    <t>Property Expenses from Developments:</t>
  </si>
  <si>
    <t>Tenant Reimbursements from Developments:</t>
  </si>
  <si>
    <t>Rental Income from Developments:</t>
  </si>
  <si>
    <t>Property Management Fees % Rental Income:</t>
  </si>
  <si>
    <t>Interconnection Fees - YoY Growth Rate:</t>
  </si>
  <si>
    <t>General &amp; Administrative % Revenue:</t>
  </si>
  <si>
    <t>Depreciation &amp; Amortization % Revenue:</t>
  </si>
  <si>
    <t>Annualized Interest Rate on Debt:</t>
  </si>
  <si>
    <t>Annualized Preferred Stock Coupon Rate:</t>
  </si>
  <si>
    <t>Income Tax Rate:</t>
  </si>
  <si>
    <t>Equity Investment Income - YoY Growth Rate:</t>
  </si>
  <si>
    <t>NCI Net Income - YoY Growth Rate:</t>
  </si>
  <si>
    <t>Balance Sheet Drivers:</t>
  </si>
  <si>
    <t>Accounts Receivable % Annualized Revenue:</t>
  </si>
  <si>
    <t>Other Assets % Annualized Revenue:</t>
  </si>
  <si>
    <t>AP &amp; Accruals % Annualized Cash Expenses:</t>
  </si>
  <si>
    <t>Other Liabilities % Annualized Cash Expenses:</t>
  </si>
  <si>
    <t>Distributions from Equity Investments % Income:</t>
  </si>
  <si>
    <t>Straight-Lining of Rent &amp; Expenses % Revenue:</t>
  </si>
  <si>
    <t>Recurring Maintenance CapEx % Revenue:</t>
  </si>
  <si>
    <t>Capitalized Leasing Commissions % Revenue:</t>
  </si>
  <si>
    <t>RE-Related Depreciation &amp; Amortization % Total:</t>
  </si>
  <si>
    <t>Unconsolidated JV Depreciation % JV Net Income:</t>
  </si>
  <si>
    <t>Planned Dividends:</t>
  </si>
  <si>
    <t>Minimum Cash Balance:</t>
  </si>
  <si>
    <t>Cash Balance Before Debt/Equity Financing:</t>
  </si>
  <si>
    <t>Debt/Equity Funding Required:</t>
  </si>
  <si>
    <t>EV / EBITDA:</t>
  </si>
  <si>
    <t>P / FFO:</t>
  </si>
  <si>
    <t>P / AFFO:</t>
  </si>
  <si>
    <t>Operating Real Estate &amp; Other Income:</t>
  </si>
  <si>
    <t>Cap Rate Adjustment for Sensitivities:</t>
  </si>
  <si>
    <t>Sensitized</t>
  </si>
  <si>
    <t xml:space="preserve">Implied </t>
  </si>
  <si>
    <t>Forward NOI:</t>
  </si>
  <si>
    <t>Cap Rate:</t>
  </si>
  <si>
    <t>Annualized GAAP NOI from Most Recent Quarter:</t>
  </si>
  <si>
    <t>(-) Partners' Share of Consolidated JVs:</t>
  </si>
  <si>
    <t>(-) Annualized NOI from Dispositions &amp; Expirations:</t>
  </si>
  <si>
    <t>(+) Annualized NOI from Backlog Stabilized in Quarter:</t>
  </si>
  <si>
    <t>Total Consolidated Cash NOI:</t>
  </si>
  <si>
    <t>Expected Growth Rate Over Next 12 Months:</t>
  </si>
  <si>
    <t>Forward Cash NOI:</t>
  </si>
  <si>
    <t>Pro-Rata Share of Unconsolidated JV Cash NOI:</t>
  </si>
  <si>
    <t>Management, Development &amp; Other Fees:</t>
  </si>
  <si>
    <t>Construction in Progress and Development Land:</t>
  </si>
  <si>
    <t>(-) Investment Associated with Backlog:</t>
  </si>
  <si>
    <t>(x) Market Value Adjustment:</t>
  </si>
  <si>
    <t>Market Value of Construction and Development Land:</t>
  </si>
  <si>
    <t>Pre-Stabilized Inventory at Cost:</t>
  </si>
  <si>
    <t>Partners' Share of Consolidated JV Assets:</t>
  </si>
  <si>
    <t>Total Market Value of Tangible Assets:</t>
  </si>
  <si>
    <t>Market Value of Debt &amp; Other Borrowings:</t>
  </si>
  <si>
    <t>Pro-Rata Portion of Unconsolidated JV Debt:</t>
  </si>
  <si>
    <t>Cost to Complete Backlog Assets:</t>
  </si>
  <si>
    <t>Preferred Stock:</t>
  </si>
  <si>
    <t>Non-OP Noncontrolling Interests:</t>
  </si>
  <si>
    <t>Share Count Calculation:</t>
  </si>
  <si>
    <t>Diluted Shares Outstanding @ NAV per Share:</t>
  </si>
  <si>
    <t>NAV per Share:</t>
  </si>
  <si>
    <t>Current Share Price:</t>
  </si>
  <si>
    <t>NAV per Share Premium / (Discount) to Current Price:</t>
  </si>
  <si>
    <t>Sensitivity Analysis - NAV per Share:</t>
  </si>
  <si>
    <t>Cap Rate Differentials to Baseline Estimates:</t>
  </si>
  <si>
    <t>Expected NOI Growth Rate Over Next 12 Months:</t>
  </si>
  <si>
    <t>DuPont Fabros Technology, Inc.</t>
  </si>
  <si>
    <t>DFT</t>
  </si>
  <si>
    <t>Restricted Stock:</t>
  </si>
  <si>
    <t>Performance Units:</t>
  </si>
  <si>
    <t>(-) Other Expenses:</t>
  </si>
  <si>
    <t>(-) Loss on Early Debt Extinguishment:</t>
  </si>
  <si>
    <t>Other Income - YoY Growth:</t>
  </si>
  <si>
    <t>Other Expenses % Other Income:</t>
  </si>
  <si>
    <t>(+) Loss on Early Debt Extinguishment:</t>
  </si>
  <si>
    <t>DCF Assumptions &amp; Output:</t>
  </si>
  <si>
    <t>Cost of Equity:</t>
  </si>
  <si>
    <t>Terminal Value - Multiples Method:</t>
  </si>
  <si>
    <t>Terminal Value - Perpetuity Growth Method:</t>
  </si>
  <si>
    <t>Discount Rate (WACC):</t>
  </si>
  <si>
    <t>Median Forward EV / EBITDA of Comps:</t>
  </si>
  <si>
    <t>Expected Long-Term GDP Growth:</t>
  </si>
  <si>
    <t>PV of Future Stock Issuances:</t>
  </si>
  <si>
    <t>Company's Current Forward EV / EBITDA:</t>
  </si>
  <si>
    <t>PV of Terminal Value of Stock Issuances:</t>
  </si>
  <si>
    <t>Estimated # of Future Shares to Be Issued:</t>
  </si>
  <si>
    <t>Baseline Terminal EBITDA Multiple:</t>
  </si>
  <si>
    <t>Baseline Terminal FCF Growth Rate:</t>
  </si>
  <si>
    <t>Total Shares Outstanding:</t>
  </si>
  <si>
    <t>Baseline Terminal Value:</t>
  </si>
  <si>
    <t>Implied Terminal FCF Growth Rate:</t>
  </si>
  <si>
    <t>Implied Terminal EBITDA Multiple:</t>
  </si>
  <si>
    <t>(+) PV of Terminal Value:</t>
  </si>
  <si>
    <t>(+) Sum of PV of Free Cash Flows:</t>
  </si>
  <si>
    <t>Implied Enterprise Value:</t>
  </si>
  <si>
    <t>(+) Noncontrolling Interests:</t>
  </si>
  <si>
    <t>% of Implied EV from Terminal Value:</t>
  </si>
  <si>
    <t>(-) Noncontrolling Interests:</t>
  </si>
  <si>
    <t>Implied Equity Value:</t>
  </si>
  <si>
    <t>Implied Share Price from DCF:</t>
  </si>
  <si>
    <t>Premium / (Discount) to Current:</t>
  </si>
  <si>
    <t>Restr. Stock:</t>
  </si>
  <si>
    <t>Perf. Units:</t>
  </si>
  <si>
    <t>Free Cash Flow Projections:</t>
  </si>
  <si>
    <t>Revenue Growth Rate:</t>
  </si>
  <si>
    <t>(-) Normalized Operating Expenses:</t>
  </si>
  <si>
    <t>% Revenue:</t>
  </si>
  <si>
    <t>Operating Income (EBIT):</t>
  </si>
  <si>
    <t>Operating Margin:</t>
  </si>
  <si>
    <t>Growth Rate:</t>
  </si>
  <si>
    <t>Adjustments for Non-Cash Charges:</t>
  </si>
  <si>
    <t>% Change in Revenue:</t>
  </si>
  <si>
    <t>Unlevered Free Cash Flow:</t>
  </si>
  <si>
    <t>Unlevered Free Cash Flow for Remainder:</t>
  </si>
  <si>
    <t>Normal Discount Period:</t>
  </si>
  <si>
    <t>Mid-Year Discount Period:</t>
  </si>
  <si>
    <t>WACC:</t>
  </si>
  <si>
    <t>Cumulative Discount Factor - Normal:</t>
  </si>
  <si>
    <t>Cumulative Discount Factor - Mid-Year:</t>
  </si>
  <si>
    <t>PV of Unlevered FCF:</t>
  </si>
  <si>
    <t>Stock Issuances:</t>
  </si>
  <si>
    <t>% Total Capital Costs:</t>
  </si>
  <si>
    <t>Sensitivity Analyses:</t>
  </si>
  <si>
    <t>Cost of Equity (WACC is ~0.8% Lower):</t>
  </si>
  <si>
    <t>Terminal EV / EBITDA Multiple (Terminal Value Calculated Using the Multiples Method):</t>
  </si>
  <si>
    <t>Terminal FCF Growth Rate (Terminal Value Calculated Using the Gordon Growth Method):</t>
  </si>
  <si>
    <t>合并资产负债表</t>
  </si>
  <si>
    <t>2022</t>
  </si>
  <si>
    <t>年</t>
  </si>
  <si>
    <t>12</t>
  </si>
  <si>
    <t>月</t>
  </si>
  <si>
    <t>31</t>
  </si>
  <si>
    <t>日</t>
  </si>
  <si>
    <t>编制单位:</t>
  </si>
  <si>
    <t>上海国际机场股份有限公司</t>
  </si>
  <si>
    <t>单位:元</t>
  </si>
  <si>
    <t>币种:人民币</t>
  </si>
  <si>
    <t>项目</t>
  </si>
  <si>
    <t>附注五</t>
  </si>
  <si>
    <t>2021</t>
  </si>
  <si>
    <t>流动资产：</t>
  </si>
  <si>
    <t>货币资金</t>
  </si>
  <si>
    <t>（一）</t>
  </si>
  <si>
    <t>13,876,587,382.90</t>
  </si>
  <si>
    <t>12,631,641,841.80</t>
  </si>
  <si>
    <t>结算备付金</t>
  </si>
  <si>
    <t>拆出资金</t>
  </si>
  <si>
    <t>交易性金融资产</t>
  </si>
  <si>
    <t>（二）</t>
  </si>
  <si>
    <t>81,531.64</t>
  </si>
  <si>
    <t>衍生金融资产</t>
  </si>
  <si>
    <t>应收票据</t>
  </si>
  <si>
    <t>应收账款</t>
  </si>
  <si>
    <t>（五）</t>
  </si>
  <si>
    <t>2,102,115,928.16</t>
  </si>
  <si>
    <t>1,861,016,708.84</t>
  </si>
  <si>
    <t>应收款项融资</t>
  </si>
  <si>
    <t>预付款项</t>
  </si>
  <si>
    <t>（七）</t>
  </si>
  <si>
    <t>19,060,400.56</t>
  </si>
  <si>
    <t>26,006,312.78</t>
  </si>
  <si>
    <t>应收保费</t>
  </si>
  <si>
    <t>应收分保账款</t>
  </si>
  <si>
    <t>应收分保合同准备金</t>
  </si>
  <si>
    <t>其他应收款</t>
  </si>
  <si>
    <t>（八）</t>
  </si>
  <si>
    <t>165,534,661.54</t>
  </si>
  <si>
    <t>103,849,221.47</t>
  </si>
  <si>
    <t>其中：应收利息</t>
  </si>
  <si>
    <t>82,578,188.34</t>
  </si>
  <si>
    <t>70,156,015.69</t>
  </si>
  <si>
    <t>应收股利</t>
  </si>
  <si>
    <t>12,300,000.00</t>
  </si>
  <si>
    <t>13,423,200.00</t>
  </si>
  <si>
    <t>买入返售金融资产</t>
  </si>
  <si>
    <t>存货</t>
  </si>
  <si>
    <t>（九）</t>
  </si>
  <si>
    <t>48,268,533.83</t>
  </si>
  <si>
    <t>38,661,874.05</t>
  </si>
  <si>
    <t>合同资产</t>
  </si>
  <si>
    <t>持有待售资产</t>
  </si>
  <si>
    <t>一年内到期的非流动资产</t>
  </si>
  <si>
    <t>其他流动资产</t>
  </si>
  <si>
    <t>（十三）</t>
  </si>
  <si>
    <t>119,642,187.19</t>
  </si>
  <si>
    <t>383,124,849.79</t>
  </si>
  <si>
    <t>流动资产合计</t>
  </si>
  <si>
    <t>16,331,290,625.82</t>
  </si>
  <si>
    <t>15,044,300,808.73</t>
  </si>
  <si>
    <t>非流动资产：</t>
  </si>
  <si>
    <t>发放贷款和垫款</t>
  </si>
  <si>
    <t>债权投资</t>
  </si>
  <si>
    <t>其他债权投资</t>
  </si>
  <si>
    <t>长期应收款</t>
  </si>
  <si>
    <t>长期股权投资</t>
  </si>
  <si>
    <t>（十七）</t>
  </si>
  <si>
    <t>2,755,571,630.73</t>
  </si>
  <si>
    <t>3,137,187,775.47</t>
  </si>
  <si>
    <t>其他权益工具投资</t>
  </si>
  <si>
    <t>其他非流动金融资产</t>
  </si>
  <si>
    <t>投资性房地产</t>
  </si>
  <si>
    <t>固定资产</t>
  </si>
  <si>
    <t>（二十一）</t>
  </si>
  <si>
    <t>24,574,064,621.00</t>
  </si>
  <si>
    <t>23,837,036,489.63</t>
  </si>
  <si>
    <t>在建工程</t>
  </si>
  <si>
    <t>（二十二）</t>
  </si>
  <si>
    <t>2,032,247,104.85</t>
  </si>
  <si>
    <t>1,915,754,594.38</t>
  </si>
  <si>
    <t>生产性生物资产</t>
  </si>
  <si>
    <t>油气资产</t>
  </si>
  <si>
    <t>使用权资产</t>
  </si>
  <si>
    <t>（二十五）</t>
  </si>
  <si>
    <t>19,364,565,762.53</t>
  </si>
  <si>
    <t>22,249,874,661.94</t>
  </si>
  <si>
    <t>无形资产</t>
  </si>
  <si>
    <t>（二十六）</t>
  </si>
  <si>
    <t>437,371,819.58</t>
  </si>
  <si>
    <t>487,521,867.95</t>
  </si>
  <si>
    <t>开发支出</t>
  </si>
  <si>
    <t>商誉</t>
  </si>
  <si>
    <t>长期待摊费用</t>
  </si>
  <si>
    <t>（二十九）</t>
  </si>
  <si>
    <t>158,651,030.23</t>
  </si>
  <si>
    <t>48,464,866.39</t>
  </si>
  <si>
    <t>69</t>
  </si>
  <si>
    <t>/</t>
  </si>
  <si>
    <t>1812022</t>
  </si>
  <si>
    <t>年年度报告</t>
  </si>
  <si>
    <t>递延所得税资产</t>
  </si>
  <si>
    <t>（三十）</t>
  </si>
  <si>
    <t>2,103,089,173.11</t>
  </si>
  <si>
    <t>1,119,293,354.82</t>
  </si>
  <si>
    <t>其他非流动资产</t>
  </si>
  <si>
    <t>（三十一）</t>
  </si>
  <si>
    <t>18,247,027.83</t>
  </si>
  <si>
    <t>3,104,994.00</t>
  </si>
  <si>
    <t>非流动资产合计</t>
  </si>
  <si>
    <t>51,443,808,169.86</t>
  </si>
  <si>
    <t>52,798,238,604.58</t>
  </si>
  <si>
    <t>资产总计</t>
  </si>
  <si>
    <t>67,775,098,795.68</t>
  </si>
  <si>
    <t>67,842,539,413.31</t>
  </si>
  <si>
    <t>流动负债：</t>
  </si>
  <si>
    <t>短期借款</t>
  </si>
  <si>
    <t>（三十二）</t>
  </si>
  <si>
    <t>749,737,414.82</t>
  </si>
  <si>
    <t>向中央银行借款</t>
  </si>
  <si>
    <t>拆入资金</t>
  </si>
  <si>
    <t>交易性金融负债</t>
  </si>
  <si>
    <t>衍生金融负债</t>
  </si>
  <si>
    <t>应付票据</t>
  </si>
  <si>
    <t>应付账款</t>
  </si>
  <si>
    <t>（三十六）</t>
  </si>
  <si>
    <t>1,134,254,762.86</t>
  </si>
  <si>
    <t>1,139,094,256.27</t>
  </si>
  <si>
    <t>预收款项</t>
  </si>
  <si>
    <t>（三十七）</t>
  </si>
  <si>
    <t>189,016,333.77</t>
  </si>
  <si>
    <t>190,515,681.83</t>
  </si>
  <si>
    <t>合同负债</t>
  </si>
  <si>
    <t>（三十八）</t>
  </si>
  <si>
    <t>62,447,076.71</t>
  </si>
  <si>
    <t>72,368,442.29</t>
  </si>
  <si>
    <t>卖出回购金融资产款</t>
  </si>
  <si>
    <t>吸收存款及同业存放</t>
  </si>
  <si>
    <t>代理买卖证券款</t>
  </si>
  <si>
    <t>代理承销证券款</t>
  </si>
  <si>
    <t>应付职工薪酬</t>
  </si>
  <si>
    <t>（三十九）</t>
  </si>
  <si>
    <t>1,015,048,161.55</t>
  </si>
  <si>
    <t>558,004,258.20</t>
  </si>
  <si>
    <t>应交税费</t>
  </si>
  <si>
    <t>（四十）</t>
  </si>
  <si>
    <t>135,389,778.17</t>
  </si>
  <si>
    <t>94,779,869.08</t>
  </si>
  <si>
    <t>其他应付款</t>
  </si>
  <si>
    <t>（四十一）</t>
  </si>
  <si>
    <t>2,206,894,480.30</t>
  </si>
  <si>
    <t>2,259,568,297.10</t>
  </si>
  <si>
    <t>其中：应付利息</t>
  </si>
  <si>
    <t>应付股利</t>
  </si>
  <si>
    <t>应付手续费及佣金</t>
  </si>
  <si>
    <t>应付分保账款</t>
  </si>
  <si>
    <t>持有待售负债</t>
  </si>
  <si>
    <t>一年内到期的非流动负债</t>
  </si>
  <si>
    <t>（四十三）</t>
  </si>
  <si>
    <t>1,331,117,069.55</t>
  </si>
  <si>
    <t>1,194,150,956.17</t>
  </si>
  <si>
    <t>其他流动负债</t>
  </si>
  <si>
    <t>（四十四）</t>
  </si>
  <si>
    <t>2,004,984,621.07</t>
  </si>
  <si>
    <t>4,008,073,637.81</t>
  </si>
  <si>
    <t>流动负债合计</t>
  </si>
  <si>
    <t>8,828,889,698.80</t>
  </si>
  <si>
    <t>9,516,555,398.75</t>
  </si>
  <si>
    <t>非流动负债：</t>
  </si>
  <si>
    <t>保险合同准备金</t>
  </si>
  <si>
    <t>长期借款</t>
  </si>
  <si>
    <t>应付债券</t>
  </si>
  <si>
    <t>其中：优先股</t>
  </si>
  <si>
    <t>永续债</t>
  </si>
  <si>
    <t>租赁负债</t>
  </si>
  <si>
    <t>（四十七）</t>
  </si>
  <si>
    <t>18,219,997,589.65</t>
  </si>
  <si>
    <t>20,903,698,684.28</t>
  </si>
  <si>
    <t>长期应付款</t>
  </si>
  <si>
    <t>长期应付职工薪酬</t>
  </si>
  <si>
    <t>预计负债</t>
  </si>
  <si>
    <t>递延收益</t>
  </si>
  <si>
    <t>（五十一）</t>
  </si>
  <si>
    <t>22,723,679.26</t>
  </si>
  <si>
    <t>21,879,495.78</t>
  </si>
  <si>
    <t>递延所得税负债</t>
  </si>
  <si>
    <t>83,405,102.74</t>
  </si>
  <si>
    <t>其他非流动负债</t>
  </si>
  <si>
    <t>非流动负债合计</t>
  </si>
  <si>
    <t>18,242,721,268.91</t>
  </si>
  <si>
    <t>21,008,983,282.80</t>
  </si>
  <si>
    <t>负债合计</t>
  </si>
  <si>
    <t>27,071,610,967.71</t>
  </si>
  <si>
    <t>30,525,538,681.55</t>
  </si>
  <si>
    <t>所有者权益（或股东权益）：</t>
  </si>
  <si>
    <t>实收资本（或股本）</t>
  </si>
  <si>
    <t>（五十三）</t>
  </si>
  <si>
    <t>2,488,481,340.00</t>
  </si>
  <si>
    <t>1,926,958,448.00</t>
  </si>
  <si>
    <t>其他权益工具</t>
  </si>
  <si>
    <t>70</t>
  </si>
  <si>
    <t>资本公积</t>
  </si>
  <si>
    <t>（五十五）</t>
  </si>
  <si>
    <t>16,503,934,089.70</t>
  </si>
  <si>
    <t>10,346,035,241.14</t>
  </si>
  <si>
    <t>减：库存股</t>
  </si>
  <si>
    <t>其他综合收益</t>
  </si>
  <si>
    <t>专项储备</t>
  </si>
  <si>
    <t>盈余公积</t>
  </si>
  <si>
    <t>（五十九）</t>
  </si>
  <si>
    <t>1,504,004,168.00</t>
  </si>
  <si>
    <t>一般风险准备</t>
  </si>
  <si>
    <t>未分配利润</t>
  </si>
  <si>
    <t>（六十）</t>
  </si>
  <si>
    <t>19,111,180,453.27</t>
  </si>
  <si>
    <t>22,106,130,328.64</t>
  </si>
  <si>
    <t>归属于母公司所有者权益（或股东权</t>
  </si>
  <si>
    <t>39,607,600,050.97</t>
  </si>
  <si>
    <t>35,883,128,185.78</t>
  </si>
  <si>
    <t>益）合计</t>
  </si>
  <si>
    <t>少数股东权益</t>
  </si>
  <si>
    <t>1,095,887,777.00</t>
  </si>
  <si>
    <t>1,433,872,545.98</t>
  </si>
  <si>
    <t>所有者权益（或股东权益）合计</t>
  </si>
  <si>
    <t>40,703,487,827.97</t>
  </si>
  <si>
    <t>37,317,000,731.76</t>
  </si>
  <si>
    <t>负债和所有者权益（或股东权</t>
  </si>
  <si>
    <t>益）总计</t>
  </si>
  <si>
    <t>公司负责人：董事长冯昕先生</t>
  </si>
  <si>
    <t>主管会计工作负责人：董事、总经理张永东先生</t>
  </si>
  <si>
    <t>会计机构负责人：计划</t>
  </si>
  <si>
    <t>财务部总经理徐宁先生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</si>
</sst>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%_);\(0.00%\);\-_%_);@_)"/>
    <numFmt numFmtId="177" formatCode="_(&quot;$&quot;* #,##0.0_);_(&quot;$&quot;* \(#,##0.0\);_(&quot;$&quot;* &quot;-&quot;_);_(@_)"/>
    <numFmt numFmtId="178" formatCode="_(* #,##0.0_);_(* \(#,##0.0\);_(* &quot;-&quot;_);_(@_)"/>
    <numFmt numFmtId="179" formatCode="_(* #,##0.000_);_(* \(#,##0.000\);_(* &quot;-&quot;??_);_(@_)"/>
    <numFmt numFmtId="180" formatCode="_(* #,##0.0_);_(* \(#,##0.0\);_(* &quot;-&quot;?_);_(@_)"/>
    <numFmt numFmtId="181" formatCode="_(&quot;$&quot;* #,##0.0_);_(&quot;$&quot;* \(#,##0.0\);_(&quot;$&quot;* &quot;-&quot;?_);_(@_)"/>
    <numFmt numFmtId="182" formatCode="#,##0.000"/>
    <numFmt numFmtId="183" formatCode="&quot;FY&quot;yy"/>
    <numFmt numFmtId="184" formatCode="_(#,##0.0%_);\(#,##0.0%\);_(&quot;–&quot;_)_%;_(@_)_%"/>
    <numFmt numFmtId="185" formatCode="_(* #,##0_);_(* \(#,##0\);_(* &quot;-&quot;_);_(@_)"/>
    <numFmt numFmtId="186" formatCode="0.0%;\(0.0%\)"/>
    <numFmt numFmtId="187" formatCode="_(0.0\ \x_);\(0.0\ \x\);_(&quot;–&quot;_);_(@_)"/>
    <numFmt numFmtId="188" formatCode="_(0.00%_);\(0.00%\);_(&quot;–&quot;_);_(@_)"/>
    <numFmt numFmtId="189" formatCode="_(0.0%_);\(0.0%\);_(&quot;–&quot;_);_(@_)"/>
    <numFmt numFmtId="190" formatCode="0.00%;\(0.00%\)"/>
    <numFmt numFmtId="191" formatCode="0.0\ \x"/>
    <numFmt numFmtId="192" formatCode="_(* #,##0.00_);_(* \(#,##0.00\);_(* &quot;-&quot;??_);_(@_)"/>
    <numFmt numFmtId="193" formatCode="_(&quot;$&quot;* #,##0.00_);_(&quot;$&quot;* \(#,##0.00\);_(&quot;$&quot;* &quot;-&quot;??_);_(@_)"/>
    <numFmt numFmtId="194" formatCode="0.0%"/>
    <numFmt numFmtId="195" formatCode="0.000"/>
    <numFmt numFmtId="196" formatCode="_(#,##0.00%_);\(#,##0.00%\);_(&quot;–&quot;_)_%;_(@_)_%"/>
    <numFmt numFmtId="197" formatCode="_(* #,##0.000_);_(* \(#,##0.000\);_(* &quot;-&quot;???_);_(@_)"/>
    <numFmt numFmtId="198" formatCode="0.00\ \x;\(0.00\ \x\)"/>
    <numFmt numFmtId="199" formatCode="_(* #,##0.0_);_(* \(#,##0.0\);_(* &quot;-&quot;??_);_(@_)"/>
    <numFmt numFmtId="200" formatCode="&quot;$&quot;#,##0.00_);[Red]\(&quot;$&quot;#,##0.00\)"/>
    <numFmt numFmtId="201" formatCode="0.0%_);\(0.0%\);\-_);@_)"/>
    <numFmt numFmtId="202" formatCode="_(&quot;$&quot;* #,##0_);_(&quot;$&quot;* \(#,##0\);_(&quot;$&quot;* &quot;-&quot;_);_(@_)"/>
    <numFmt numFmtId="203" formatCode="0.0%_);\(0.0%\);\-_%_);@_)"/>
    <numFmt numFmtId="204" formatCode="yyyy\-mm\-dd"/>
    <numFmt numFmtId="205" formatCode="&quot;1Q&quot;\ yy"/>
    <numFmt numFmtId="206" formatCode="&quot;2Q&quot;\ yy"/>
    <numFmt numFmtId="207" formatCode="&quot;3Q&quot;\ yy"/>
    <numFmt numFmtId="208" formatCode="#,##0_);\(#,##0\);\-_);@_)"/>
    <numFmt numFmtId="209" formatCode="#,##0.0_);\(#,##0.0\);\-_);@_)"/>
    <numFmt numFmtId="210" formatCode="_(&quot;$&quot;* #,##0_);_(&quot;$&quot;* \(#,##0\);_(&quot;$&quot;* &quot;-&quot;?_);_(@_)"/>
    <numFmt numFmtId="211" formatCode="_(* #,##0.000_);_(* \(#,##0.000\);_(* &quot;-&quot;_);_(@_)"/>
    <numFmt numFmtId="212" formatCode="&quot;4Q&quot;\ yy"/>
    <numFmt numFmtId="213" formatCode="_(* #,##0.000_);_(* \(#,##0.000\);_(* &quot;-&quot;?_);_(@_)"/>
    <numFmt numFmtId="214" formatCode="&quot;$&quot;#,##0.0_);\(&quot;$&quot;#,##0.0\);&quot;OK!&quot;;&quot;ERROR&quot;"/>
    <numFmt numFmtId="215" formatCode="_(&quot;$&quot;* #,##0.000_);_(&quot;$&quot;* \(#,##0.000\);_(&quot;$&quot;* &quot;-&quot;?_);_(@_)"/>
    <numFmt numFmtId="216" formatCode="_(&quot;$&quot;* #,##0.000_);_(&quot;$&quot;* \(#,##0.000\);_(&quot;$&quot;* &quot;-&quot;??_);_(@_)"/>
    <numFmt numFmtId="217" formatCode="0.0\ \x_);\(0.0\ \x\);\-_);@_)"/>
    <numFmt numFmtId="218" formatCode="0.00\ \x_);\(0.00\ \x\);\-_);@_)"/>
    <numFmt numFmtId="219" formatCode="0.00%_);\(0.00%\);\-_);@_)"/>
    <numFmt numFmtId="220" formatCode="_(&quot;$&quot;* #,##0.0_);_(&quot;$&quot;* \(#,##0.0\);_(&quot;$&quot;* &quot;-&quot;??_);_(@_)"/>
    <numFmt numFmtId="221" formatCode="0.0000\ \x;\(0.0000\ \x\)"/>
    <numFmt numFmtId="222" formatCode="0.0\ \x;\(0.0\ \x\)"/>
    <numFmt numFmtId="223" formatCode="0.000\ \x;\(0.000\ \x\)"/>
    <numFmt numFmtId="224" formatCode="_(&quot;$&quot;* #,##0.00_);_(&quot;$&quot;* \(#,##0.00\);_(&quot;$&quot;* &quot;-&quot;?_);_(@_)"/>
    <numFmt numFmtId="225" formatCode="&quot;$&quot;#,##0_);[Red]\(&quot;$&quot;#,##0\)"/>
    <numFmt numFmtId="226" formatCode="0.0"/>
    <numFmt numFmtId="227" formatCode="0.0%;\(0.0%\);\-_)_%;@_)_%"/>
  </numFmts>
  <fonts count="62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sz val="12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2"/>
      <color theme="1"/>
      <name val="Calibri"/>
      <charset val="134"/>
    </font>
    <font>
      <b/>
      <sz val="12"/>
      <color theme="0"/>
      <name val="宋体"/>
      <charset val="134"/>
      <scheme val="minor"/>
    </font>
    <font>
      <b/>
      <i/>
      <sz val="12"/>
      <color theme="0"/>
      <name val="宋体"/>
      <charset val="134"/>
      <scheme val="minor"/>
    </font>
    <font>
      <i/>
      <sz val="12"/>
      <name val="宋体"/>
      <charset val="134"/>
      <scheme val="minor"/>
    </font>
    <font>
      <sz val="12"/>
      <color rgb="FF0000FF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2"/>
      <name val="宋体"/>
      <charset val="134"/>
      <scheme val="minor"/>
    </font>
    <font>
      <sz val="12"/>
      <color rgb="FF00B050"/>
      <name val="宋体"/>
      <charset val="134"/>
      <scheme val="minor"/>
    </font>
    <font>
      <b/>
      <u/>
      <sz val="12"/>
      <color theme="0"/>
      <name val="宋体"/>
      <charset val="134"/>
      <scheme val="minor"/>
    </font>
    <font>
      <i/>
      <sz val="12"/>
      <color theme="1"/>
      <name val="宋体"/>
      <charset val="134"/>
      <scheme val="minor"/>
    </font>
    <font>
      <b/>
      <sz val="12"/>
      <color rgb="FF00B050"/>
      <name val="宋体"/>
      <charset val="134"/>
      <scheme val="minor"/>
    </font>
    <font>
      <b/>
      <sz val="12"/>
      <color theme="1"/>
      <name val="Calibri"/>
      <charset val="134"/>
    </font>
    <font>
      <b/>
      <sz val="12"/>
      <color indexed="9"/>
      <name val="宋体"/>
      <charset val="134"/>
      <scheme val="minor"/>
    </font>
    <font>
      <sz val="12"/>
      <color theme="0" tint="-0.149998474074526"/>
      <name val="宋体"/>
      <charset val="134"/>
      <scheme val="minor"/>
    </font>
    <font>
      <sz val="11"/>
      <color theme="1"/>
      <name val="Calibri"/>
      <charset val="134"/>
    </font>
    <font>
      <sz val="12"/>
      <color rgb="FF00B050"/>
      <name val="Calibri"/>
      <charset val="134"/>
    </font>
    <font>
      <sz val="12"/>
      <name val="Calibri"/>
      <charset val="134"/>
    </font>
    <font>
      <sz val="12"/>
      <color rgb="FF0000FF"/>
      <name val="Calibri"/>
      <charset val="134"/>
    </font>
    <font>
      <b/>
      <sz val="12"/>
      <name val="Calibri"/>
      <charset val="134"/>
    </font>
    <font>
      <i/>
      <sz val="12"/>
      <color theme="1"/>
      <name val="Calibri"/>
      <charset val="134"/>
    </font>
    <font>
      <b/>
      <sz val="12"/>
      <color rgb="FF0000FF"/>
      <name val="Calibri"/>
      <charset val="134"/>
    </font>
    <font>
      <b/>
      <sz val="12"/>
      <color rgb="FF00B050"/>
      <name val="Calibri"/>
      <charset val="134"/>
    </font>
    <font>
      <b/>
      <sz val="14"/>
      <color theme="1"/>
      <name val="Calibri"/>
      <charset val="134"/>
    </font>
    <font>
      <b/>
      <u/>
      <sz val="12"/>
      <color indexed="9"/>
      <name val="宋体"/>
      <charset val="134"/>
      <scheme val="minor"/>
    </font>
    <font>
      <u/>
      <sz val="12"/>
      <color indexed="9"/>
      <name val="宋体"/>
      <charset val="134"/>
      <scheme val="minor"/>
    </font>
    <font>
      <sz val="12"/>
      <color indexed="9"/>
      <name val="宋体"/>
      <charset val="134"/>
      <scheme val="minor"/>
    </font>
    <font>
      <b/>
      <sz val="12"/>
      <color rgb="FF0000FF"/>
      <name val="宋体"/>
      <charset val="134"/>
      <scheme val="minor"/>
    </font>
    <font>
      <sz val="12"/>
      <color rgb="FF000000"/>
      <name val="宋体"/>
      <charset val="134"/>
      <scheme val="minor"/>
    </font>
    <font>
      <i/>
      <sz val="12"/>
      <color rgb="FF00B050"/>
      <name val="宋体"/>
      <charset val="134"/>
      <scheme val="minor"/>
    </font>
    <font>
      <b/>
      <sz val="12"/>
      <color rgb="FFFFFFFF"/>
      <name val="宋体"/>
      <charset val="134"/>
      <scheme val="minor"/>
    </font>
    <font>
      <b/>
      <u/>
      <sz val="12"/>
      <color rgb="FFFFFFFF"/>
      <name val="Arial"/>
      <charset val="134"/>
    </font>
    <font>
      <u/>
      <sz val="12"/>
      <color rgb="FFFFFFFF"/>
      <name val="Arial"/>
      <charset val="134"/>
    </font>
    <font>
      <b/>
      <u/>
      <sz val="12"/>
      <name val="宋体"/>
      <charset val="134"/>
      <scheme val="minor"/>
    </font>
    <font>
      <b/>
      <u/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8"/>
      <color indexed="8"/>
      <name val="Arial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38DD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/>
      <right/>
      <top style="thin">
        <color rgb="FFB2B2B2"/>
      </top>
      <bottom/>
      <diagonal/>
    </border>
    <border>
      <left/>
      <right/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/>
      <top style="thin">
        <color rgb="FFB2B2B2"/>
      </top>
      <bottom style="thin">
        <color auto="1"/>
      </bottom>
      <diagonal/>
    </border>
    <border>
      <left style="thin">
        <color rgb="FFB2B2B2"/>
      </left>
      <right/>
      <top style="thin">
        <color rgb="FFB2B2B2"/>
      </top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B2B2B2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6">
    <xf numFmtId="0" fontId="0" fillId="0" borderId="0"/>
    <xf numFmtId="43" fontId="39" fillId="0" borderId="0" applyFont="0" applyFill="0" applyBorder="0" applyAlignment="0" applyProtection="0">
      <alignment vertical="center"/>
    </xf>
    <xf numFmtId="44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  <xf numFmtId="41" fontId="39" fillId="0" borderId="0" applyFont="0" applyFill="0" applyBorder="0" applyAlignment="0" applyProtection="0">
      <alignment vertical="center"/>
    </xf>
    <xf numFmtId="42" fontId="39" fillId="0" borderId="0" applyFon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39" fillId="10" borderId="2" applyNumberFormat="0" applyFon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36" applyNumberFormat="0" applyFill="0" applyAlignment="0" applyProtection="0">
      <alignment vertical="center"/>
    </xf>
    <xf numFmtId="0" fontId="46" fillId="0" borderId="36" applyNumberFormat="0" applyFill="0" applyAlignment="0" applyProtection="0">
      <alignment vertical="center"/>
    </xf>
    <xf numFmtId="0" fontId="47" fillId="0" borderId="3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1" borderId="38" applyNumberFormat="0" applyAlignment="0" applyProtection="0">
      <alignment vertical="center"/>
    </xf>
    <xf numFmtId="0" fontId="49" fillId="12" borderId="39" applyNumberFormat="0" applyAlignment="0" applyProtection="0">
      <alignment vertical="center"/>
    </xf>
    <xf numFmtId="0" fontId="50" fillId="12" borderId="38" applyNumberFormat="0" applyAlignment="0" applyProtection="0">
      <alignment vertical="center"/>
    </xf>
    <xf numFmtId="0" fontId="51" fillId="13" borderId="40" applyNumberFormat="0" applyAlignment="0" applyProtection="0">
      <alignment vertical="center"/>
    </xf>
    <xf numFmtId="0" fontId="52" fillId="0" borderId="41" applyNumberFormat="0" applyFill="0" applyAlignment="0" applyProtection="0">
      <alignment vertical="center"/>
    </xf>
    <xf numFmtId="0" fontId="53" fillId="0" borderId="42" applyNumberFormat="0" applyFill="0" applyAlignment="0" applyProtection="0">
      <alignment vertical="center"/>
    </xf>
    <xf numFmtId="0" fontId="54" fillId="14" borderId="0" applyNumberFormat="0" applyBorder="0" applyAlignment="0" applyProtection="0">
      <alignment vertical="center"/>
    </xf>
    <xf numFmtId="0" fontId="55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8" fillId="18" borderId="0" applyNumberFormat="0" applyBorder="0" applyAlignment="0" applyProtection="0">
      <alignment vertical="center"/>
    </xf>
    <xf numFmtId="0" fontId="58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8" fillId="26" borderId="0" applyNumberFormat="0" applyBorder="0" applyAlignment="0" applyProtection="0">
      <alignment vertical="center"/>
    </xf>
    <xf numFmtId="0" fontId="58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8" fillId="30" borderId="0" applyNumberFormat="0" applyBorder="0" applyAlignment="0" applyProtection="0">
      <alignment vertical="center"/>
    </xf>
    <xf numFmtId="0" fontId="58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8" fillId="34" borderId="0" applyNumberFormat="0" applyBorder="0" applyAlignment="0" applyProtection="0">
      <alignment vertical="center"/>
    </xf>
    <xf numFmtId="0" fontId="58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8" fillId="38" borderId="0" applyNumberFormat="0" applyBorder="0" applyAlignment="0" applyProtection="0">
      <alignment vertical="center"/>
    </xf>
    <xf numFmtId="0" fontId="58" fillId="39" borderId="0" applyNumberFormat="0" applyBorder="0" applyAlignment="0" applyProtection="0">
      <alignment vertical="center"/>
    </xf>
    <xf numFmtId="0" fontId="57" fillId="40" borderId="0" applyNumberFormat="0" applyBorder="0" applyAlignment="0" applyProtection="0">
      <alignment vertical="center"/>
    </xf>
    <xf numFmtId="0" fontId="39" fillId="0" borderId="0" applyBorder="0"/>
    <xf numFmtId="0" fontId="39" fillId="41" borderId="2" applyNumberFormat="0" applyFont="0" applyAlignment="0" applyProtection="0"/>
    <xf numFmtId="0" fontId="59" fillId="0" borderId="0" applyBorder="0"/>
    <xf numFmtId="0" fontId="39" fillId="0" borderId="0" applyBorder="0"/>
    <xf numFmtId="0" fontId="39" fillId="0" borderId="0" applyBorder="0"/>
    <xf numFmtId="0" fontId="60" fillId="0" borderId="0" applyBorder="0" applyAlignment="0"/>
    <xf numFmtId="0" fontId="39" fillId="0" borderId="0" applyBorder="0"/>
  </cellStyleXfs>
  <cellXfs count="736">
    <xf numFmtId="0" fontId="0" fillId="0" borderId="0" xfId="0"/>
    <xf numFmtId="0" fontId="1" fillId="0" borderId="0" xfId="0" applyNumberFormat="1" applyFont="1" applyFill="1" applyAlignment="1" applyProtection="1"/>
    <xf numFmtId="0" fontId="2" fillId="0" borderId="0" xfId="51" applyFont="1"/>
    <xf numFmtId="0" fontId="3" fillId="0" borderId="0" xfId="49" applyFont="1"/>
    <xf numFmtId="0" fontId="4" fillId="0" borderId="0" xfId="0" applyNumberFormat="1" applyFont="1" applyFill="1" applyAlignment="1"/>
    <xf numFmtId="0" fontId="5" fillId="2" borderId="0" xfId="51" applyFont="1" applyFill="1"/>
    <xf numFmtId="0" fontId="5" fillId="2" borderId="1" xfId="51" applyFont="1" applyFill="1" applyBorder="1"/>
    <xf numFmtId="0" fontId="6" fillId="2" borderId="1" xfId="51" applyFont="1" applyFill="1" applyBorder="1" applyAlignment="1">
      <alignment horizontal="center"/>
    </xf>
    <xf numFmtId="14" fontId="5" fillId="2" borderId="1" xfId="51" applyNumberFormat="1" applyFont="1" applyFill="1" applyBorder="1" applyAlignment="1">
      <alignment horizontal="center"/>
    </xf>
    <xf numFmtId="0" fontId="7" fillId="0" borderId="0" xfId="51" applyFont="1" applyAlignment="1">
      <alignment horizontal="center"/>
    </xf>
    <xf numFmtId="176" fontId="8" fillId="3" borderId="2" xfId="50" applyNumberFormat="1" applyFont="1" applyFill="1" applyBorder="1" applyAlignment="1">
      <alignment horizontal="center"/>
    </xf>
    <xf numFmtId="0" fontId="4" fillId="0" borderId="0" xfId="0" applyFont="1" applyFill="1" applyAlignment="1"/>
    <xf numFmtId="0" fontId="9" fillId="4" borderId="1" xfId="49" applyFont="1" applyFill="1" applyBorder="1"/>
    <xf numFmtId="0" fontId="10" fillId="4" borderId="1" xfId="49" applyFont="1" applyFill="1" applyBorder="1" applyAlignment="1"/>
    <xf numFmtId="176" fontId="2" fillId="3" borderId="2" xfId="50" applyNumberFormat="1" applyFont="1" applyFill="1" applyBorder="1" applyAlignment="1">
      <alignment horizontal="center"/>
    </xf>
    <xf numFmtId="177" fontId="2" fillId="0" borderId="0" xfId="51" applyNumberFormat="1" applyFont="1"/>
    <xf numFmtId="178" fontId="2" fillId="0" borderId="0" xfId="51" applyNumberFormat="1" applyFont="1"/>
    <xf numFmtId="179" fontId="2" fillId="0" borderId="0" xfId="51" applyNumberFormat="1" applyFont="1"/>
    <xf numFmtId="0" fontId="2" fillId="0" borderId="0" xfId="51" applyFont="1" applyAlignment="1">
      <alignment horizontal="left" indent="1"/>
    </xf>
    <xf numFmtId="0" fontId="11" fillId="4" borderId="1" xfId="51" applyFont="1" applyFill="1" applyBorder="1" applyAlignment="1">
      <alignment horizontal="left"/>
    </xf>
    <xf numFmtId="0" fontId="2" fillId="4" borderId="1" xfId="51" applyFont="1" applyFill="1" applyBorder="1"/>
    <xf numFmtId="180" fontId="9" fillId="4" borderId="1" xfId="49" applyNumberFormat="1" applyFont="1" applyFill="1" applyBorder="1"/>
    <xf numFmtId="180" fontId="12" fillId="0" borderId="3" xfId="49" applyNumberFormat="1" applyFont="1" applyFill="1" applyBorder="1"/>
    <xf numFmtId="180" fontId="12" fillId="0" borderId="0" xfId="51" applyNumberFormat="1" applyFont="1"/>
    <xf numFmtId="0" fontId="2" fillId="0" borderId="0" xfId="51" applyFont="1" applyFill="1"/>
    <xf numFmtId="0" fontId="10" fillId="0" borderId="0" xfId="49" applyFont="1" applyAlignment="1">
      <alignment horizontal="left" indent="1"/>
    </xf>
    <xf numFmtId="0" fontId="10" fillId="0" borderId="0" xfId="49" applyFont="1"/>
    <xf numFmtId="180" fontId="12" fillId="0" borderId="0" xfId="49" applyNumberFormat="1" applyFont="1" applyFill="1"/>
    <xf numFmtId="0" fontId="2" fillId="0" borderId="1" xfId="51" applyFont="1" applyBorder="1" applyAlignment="1">
      <alignment horizontal="left" indent="1"/>
    </xf>
    <xf numFmtId="0" fontId="2" fillId="0" borderId="1" xfId="51" applyFont="1" applyBorder="1"/>
    <xf numFmtId="0" fontId="11" fillId="4" borderId="0" xfId="51" applyFont="1" applyFill="1"/>
    <xf numFmtId="0" fontId="2" fillId="4" borderId="0" xfId="51" applyFont="1" applyFill="1"/>
    <xf numFmtId="180" fontId="12" fillId="0" borderId="1" xfId="49" applyNumberFormat="1" applyFont="1" applyFill="1" applyBorder="1"/>
    <xf numFmtId="0" fontId="10" fillId="0" borderId="0" xfId="49" applyFont="1" applyFill="1"/>
    <xf numFmtId="0" fontId="11" fillId="4" borderId="3" xfId="51" applyFont="1" applyFill="1" applyBorder="1" applyAlignment="1">
      <alignment horizontal="left"/>
    </xf>
    <xf numFmtId="0" fontId="2" fillId="4" borderId="3" xfId="51" applyFont="1" applyFill="1" applyBorder="1"/>
    <xf numFmtId="181" fontId="11" fillId="4" borderId="3" xfId="51" applyNumberFormat="1" applyFont="1" applyFill="1" applyBorder="1"/>
    <xf numFmtId="0" fontId="7" fillId="0" borderId="0" xfId="51" applyFont="1"/>
    <xf numFmtId="0" fontId="11" fillId="0" borderId="0" xfId="51" applyFont="1" applyFill="1" applyAlignment="1">
      <alignment horizontal="left"/>
    </xf>
    <xf numFmtId="0" fontId="2" fillId="0" borderId="0" xfId="51" applyNumberFormat="1" applyFont="1"/>
    <xf numFmtId="0" fontId="11" fillId="5" borderId="4" xfId="51" applyFont="1" applyFill="1" applyBorder="1"/>
    <xf numFmtId="0" fontId="2" fillId="5" borderId="3" xfId="51" applyFont="1" applyFill="1" applyBorder="1"/>
    <xf numFmtId="0" fontId="11" fillId="5" borderId="5" xfId="51" applyFont="1" applyFill="1" applyBorder="1"/>
    <xf numFmtId="0" fontId="2" fillId="5" borderId="1" xfId="51" applyFont="1" applyFill="1" applyBorder="1"/>
    <xf numFmtId="0" fontId="8" fillId="0" borderId="0" xfId="51" applyFont="1" applyAlignment="1">
      <alignment horizontal="center"/>
    </xf>
    <xf numFmtId="0" fontId="10" fillId="6" borderId="0" xfId="0" applyNumberFormat="1" applyFont="1" applyFill="1" applyAlignment="1"/>
    <xf numFmtId="0" fontId="10" fillId="6" borderId="0" xfId="0" applyFont="1" applyFill="1" applyAlignment="1"/>
    <xf numFmtId="0" fontId="9" fillId="6" borderId="1" xfId="0" applyNumberFormat="1" applyFont="1" applyFill="1" applyBorder="1" applyAlignment="1"/>
    <xf numFmtId="0" fontId="9" fillId="6" borderId="1" xfId="0" applyFont="1" applyFill="1" applyBorder="1" applyAlignment="1">
      <alignment horizontal="center"/>
    </xf>
    <xf numFmtId="0" fontId="2" fillId="0" borderId="0" xfId="51" applyNumberFormat="1" applyFont="1" applyAlignment="1">
      <alignment horizontal="left" indent="1"/>
    </xf>
    <xf numFmtId="182" fontId="12" fillId="0" borderId="3" xfId="0" applyNumberFormat="1" applyFont="1" applyFill="1" applyBorder="1" applyAlignment="1"/>
    <xf numFmtId="0" fontId="4" fillId="0" borderId="0" xfId="0" applyFont="1" applyFill="1" applyAlignment="1">
      <alignment horizontal="left" indent="1"/>
    </xf>
    <xf numFmtId="182" fontId="12" fillId="0" borderId="0" xfId="0" applyNumberFormat="1" applyFont="1" applyFill="1" applyAlignment="1"/>
    <xf numFmtId="0" fontId="2" fillId="0" borderId="1" xfId="51" applyNumberFormat="1" applyFont="1" applyBorder="1" applyAlignment="1">
      <alignment horizontal="left" indent="1"/>
    </xf>
    <xf numFmtId="182" fontId="12" fillId="0" borderId="1" xfId="0" applyNumberFormat="1" applyFont="1" applyFill="1" applyBorder="1" applyAlignment="1"/>
    <xf numFmtId="0" fontId="11" fillId="0" borderId="0" xfId="51" applyNumberFormat="1" applyFont="1"/>
    <xf numFmtId="182" fontId="9" fillId="0" borderId="0" xfId="0" applyNumberFormat="1" applyFont="1" applyFill="1" applyAlignment="1"/>
    <xf numFmtId="0" fontId="5" fillId="2" borderId="6" xfId="51" applyFont="1" applyFill="1" applyBorder="1" applyAlignment="1">
      <alignment horizontal="centerContinuous"/>
    </xf>
    <xf numFmtId="0" fontId="5" fillId="2" borderId="7" xfId="51" applyFont="1" applyFill="1" applyBorder="1" applyAlignment="1">
      <alignment horizontal="centerContinuous"/>
    </xf>
    <xf numFmtId="0" fontId="13" fillId="2" borderId="7" xfId="51" applyFont="1" applyFill="1" applyBorder="1" applyAlignment="1">
      <alignment horizontal="centerContinuous"/>
    </xf>
    <xf numFmtId="183" fontId="5" fillId="2" borderId="8" xfId="49" applyNumberFormat="1" applyFont="1" applyFill="1" applyBorder="1" applyAlignment="1">
      <alignment horizontal="center"/>
    </xf>
    <xf numFmtId="183" fontId="5" fillId="2" borderId="1" xfId="49" applyNumberFormat="1" applyFont="1" applyFill="1" applyBorder="1" applyAlignment="1">
      <alignment horizontal="center"/>
    </xf>
    <xf numFmtId="0" fontId="11" fillId="0" borderId="0" xfId="51" applyFont="1"/>
    <xf numFmtId="0" fontId="14" fillId="0" borderId="0" xfId="49" applyFont="1" applyAlignment="1">
      <alignment horizontal="center"/>
    </xf>
    <xf numFmtId="177" fontId="15" fillId="0" borderId="0" xfId="51" applyNumberFormat="1" applyFont="1"/>
    <xf numFmtId="184" fontId="2" fillId="0" borderId="0" xfId="51" applyNumberFormat="1" applyFont="1"/>
    <xf numFmtId="184" fontId="7" fillId="0" borderId="0" xfId="51" applyNumberFormat="1" applyFont="1"/>
    <xf numFmtId="0" fontId="2" fillId="0" borderId="0" xfId="51" applyFont="1" applyAlignment="1">
      <alignment horizontal="left"/>
    </xf>
    <xf numFmtId="0" fontId="11" fillId="0" borderId="0" xfId="51" applyFont="1" applyAlignment="1">
      <alignment horizontal="left"/>
    </xf>
    <xf numFmtId="178" fontId="11" fillId="0" borderId="0" xfId="51" applyNumberFormat="1" applyFont="1"/>
    <xf numFmtId="0" fontId="7" fillId="0" borderId="0" xfId="51" applyFont="1" applyAlignment="1">
      <alignment horizontal="left" indent="1"/>
    </xf>
    <xf numFmtId="185" fontId="2" fillId="0" borderId="0" xfId="51" applyNumberFormat="1" applyFont="1"/>
    <xf numFmtId="178" fontId="12" fillId="0" borderId="0" xfId="51" applyNumberFormat="1" applyFont="1"/>
    <xf numFmtId="0" fontId="2" fillId="0" borderId="0" xfId="51" applyFont="1" applyAlignment="1">
      <alignment horizontal="left" indent="2"/>
    </xf>
    <xf numFmtId="186" fontId="2" fillId="0" borderId="0" xfId="51" applyNumberFormat="1" applyFont="1"/>
    <xf numFmtId="180" fontId="8" fillId="0" borderId="0" xfId="51" applyNumberFormat="1" applyFont="1"/>
    <xf numFmtId="0" fontId="10" fillId="0" borderId="0" xfId="49" applyFont="1" applyFill="1" applyAlignment="1"/>
    <xf numFmtId="187" fontId="8" fillId="3" borderId="9" xfId="49" applyNumberFormat="1" applyFont="1" applyFill="1" applyBorder="1" applyAlignment="1">
      <alignment horizontal="center"/>
    </xf>
    <xf numFmtId="188" fontId="8" fillId="3" borderId="9" xfId="49" applyNumberFormat="1" applyFont="1" applyFill="1" applyBorder="1" applyAlignment="1">
      <alignment horizontal="center"/>
    </xf>
    <xf numFmtId="189" fontId="8" fillId="0" borderId="0" xfId="49" applyNumberFormat="1" applyFont="1" applyFill="1" applyAlignment="1">
      <alignment horizontal="center"/>
    </xf>
    <xf numFmtId="181" fontId="11" fillId="0" borderId="0" xfId="51" applyNumberFormat="1" applyFont="1"/>
    <xf numFmtId="187" fontId="8" fillId="0" borderId="0" xfId="49" applyNumberFormat="1" applyFont="1" applyFill="1" applyAlignment="1">
      <alignment horizontal="center"/>
    </xf>
    <xf numFmtId="177" fontId="10" fillId="0" borderId="0" xfId="49" applyNumberFormat="1" applyFont="1"/>
    <xf numFmtId="177" fontId="10" fillId="0" borderId="0" xfId="49" applyNumberFormat="1" applyFont="1" applyFill="1"/>
    <xf numFmtId="190" fontId="2" fillId="0" borderId="0" xfId="51" applyNumberFormat="1" applyFont="1" applyAlignment="1">
      <alignment horizontal="center"/>
    </xf>
    <xf numFmtId="191" fontId="2" fillId="0" borderId="0" xfId="51" applyNumberFormat="1" applyFont="1" applyAlignment="1">
      <alignment horizontal="center"/>
    </xf>
    <xf numFmtId="191" fontId="2" fillId="0" borderId="0" xfId="51" applyNumberFormat="1" applyFont="1" applyFill="1"/>
    <xf numFmtId="180" fontId="10" fillId="0" borderId="1" xfId="49" applyNumberFormat="1" applyFont="1" applyBorder="1"/>
    <xf numFmtId="180" fontId="10" fillId="0" borderId="0" xfId="49" applyNumberFormat="1" applyFont="1" applyFill="1"/>
    <xf numFmtId="180" fontId="9" fillId="4" borderId="0" xfId="49" applyNumberFormat="1" applyFont="1" applyFill="1"/>
    <xf numFmtId="180" fontId="9" fillId="0" borderId="0" xfId="49" applyNumberFormat="1" applyFont="1" applyFill="1"/>
    <xf numFmtId="186" fontId="7" fillId="0" borderId="0" xfId="51" applyNumberFormat="1" applyFont="1"/>
    <xf numFmtId="186" fontId="7" fillId="0" borderId="0" xfId="51" applyNumberFormat="1" applyFont="1" applyFill="1"/>
    <xf numFmtId="180" fontId="2" fillId="0" borderId="0" xfId="49" applyNumberFormat="1" applyFont="1" applyFill="1"/>
    <xf numFmtId="180" fontId="2" fillId="0" borderId="0" xfId="51" applyNumberFormat="1" applyFont="1"/>
    <xf numFmtId="180" fontId="2" fillId="0" borderId="0" xfId="51" applyNumberFormat="1" applyFont="1" applyFill="1"/>
    <xf numFmtId="180" fontId="2" fillId="0" borderId="1" xfId="49" applyNumberFormat="1" applyFont="1" applyFill="1" applyBorder="1"/>
    <xf numFmtId="180" fontId="11" fillId="4" borderId="0" xfId="51" applyNumberFormat="1" applyFont="1" applyFill="1"/>
    <xf numFmtId="180" fontId="11" fillId="0" borderId="0" xfId="51" applyNumberFormat="1" applyFont="1" applyFill="1"/>
    <xf numFmtId="192" fontId="2" fillId="3" borderId="10" xfId="0" applyNumberFormat="1" applyFont="1" applyFill="1" applyBorder="1" applyAlignment="1"/>
    <xf numFmtId="192" fontId="2" fillId="0" borderId="0" xfId="0" applyNumberFormat="1" applyFont="1" applyFill="1" applyAlignment="1"/>
    <xf numFmtId="193" fontId="11" fillId="5" borderId="11" xfId="51" applyNumberFormat="1" applyFont="1" applyFill="1" applyBorder="1"/>
    <xf numFmtId="193" fontId="11" fillId="0" borderId="0" xfId="51" applyNumberFormat="1" applyFont="1" applyFill="1"/>
    <xf numFmtId="186" fontId="11" fillId="5" borderId="12" xfId="51" applyNumberFormat="1" applyFont="1" applyFill="1" applyBorder="1"/>
    <xf numFmtId="0" fontId="2" fillId="0" borderId="0" xfId="51" applyFont="1" applyAlignment="1">
      <alignment horizontal="center"/>
    </xf>
    <xf numFmtId="186" fontId="11" fillId="0" borderId="0" xfId="51" applyNumberFormat="1" applyFont="1" applyFill="1"/>
    <xf numFmtId="0" fontId="2" fillId="0" borderId="0" xfId="51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0" xfId="0" applyFont="1" applyFill="1" applyAlignment="1"/>
    <xf numFmtId="0" fontId="9" fillId="0" borderId="0" xfId="0" applyFont="1" applyFill="1" applyAlignment="1">
      <alignment horizontal="center"/>
    </xf>
    <xf numFmtId="193" fontId="12" fillId="0" borderId="3" xfId="0" applyNumberFormat="1" applyFont="1" applyFill="1" applyBorder="1" applyAlignment="1">
      <alignment horizontal="right"/>
    </xf>
    <xf numFmtId="182" fontId="2" fillId="0" borderId="3" xfId="0" applyNumberFormat="1" applyFont="1" applyFill="1" applyBorder="1" applyAlignment="1"/>
    <xf numFmtId="182" fontId="2" fillId="0" borderId="0" xfId="0" applyNumberFormat="1" applyFont="1" applyFill="1" applyAlignment="1"/>
    <xf numFmtId="192" fontId="12" fillId="0" borderId="0" xfId="0" applyNumberFormat="1" applyFont="1" applyFill="1" applyAlignment="1">
      <alignment horizontal="right"/>
    </xf>
    <xf numFmtId="182" fontId="4" fillId="0" borderId="0" xfId="0" applyNumberFormat="1" applyFont="1" applyFill="1" applyAlignment="1"/>
    <xf numFmtId="0" fontId="4" fillId="0" borderId="1" xfId="0" applyFont="1" applyFill="1" applyBorder="1" applyAlignment="1"/>
    <xf numFmtId="182" fontId="4" fillId="0" borderId="1" xfId="0" applyNumberFormat="1" applyFont="1" applyFill="1" applyBorder="1" applyAlignment="1"/>
    <xf numFmtId="0" fontId="14" fillId="0" borderId="0" xfId="0" applyNumberFormat="1" applyFont="1" applyFill="1" applyAlignment="1"/>
    <xf numFmtId="182" fontId="11" fillId="0" borderId="0" xfId="0" applyNumberFormat="1" applyFont="1" applyFill="1" applyAlignment="1"/>
    <xf numFmtId="177" fontId="11" fillId="0" borderId="0" xfId="51" applyNumberFormat="1" applyFont="1"/>
    <xf numFmtId="186" fontId="8" fillId="3" borderId="2" xfId="50" applyNumberFormat="1" applyFont="1" applyFill="1" applyBorder="1" applyAlignment="1">
      <alignment horizontal="center"/>
    </xf>
    <xf numFmtId="194" fontId="2" fillId="0" borderId="0" xfId="51" applyNumberFormat="1" applyFont="1"/>
    <xf numFmtId="0" fontId="7" fillId="0" borderId="0" xfId="51" applyFont="1" applyAlignment="1">
      <alignment horizontal="left" indent="2"/>
    </xf>
    <xf numFmtId="0" fontId="11" fillId="7" borderId="0" xfId="51" applyFont="1" applyFill="1"/>
    <xf numFmtId="0" fontId="7" fillId="7" borderId="0" xfId="51" applyFont="1" applyFill="1" applyAlignment="1">
      <alignment horizontal="center"/>
    </xf>
    <xf numFmtId="180" fontId="11" fillId="7" borderId="0" xfId="51" applyNumberFormat="1" applyFont="1" applyFill="1"/>
    <xf numFmtId="0" fontId="16" fillId="0" borderId="0" xfId="0" applyNumberFormat="1" applyFont="1" applyFill="1" applyAlignment="1"/>
    <xf numFmtId="180" fontId="11" fillId="0" borderId="0" xfId="51" applyNumberFormat="1" applyFont="1"/>
    <xf numFmtId="181" fontId="2" fillId="0" borderId="0" xfId="51" applyNumberFormat="1" applyFont="1"/>
    <xf numFmtId="195" fontId="2" fillId="3" borderId="9" xfId="0" applyNumberFormat="1" applyFont="1" applyFill="1" applyBorder="1" applyAlignment="1">
      <alignment horizontal="center"/>
    </xf>
    <xf numFmtId="195" fontId="4" fillId="0" borderId="0" xfId="0" applyNumberFormat="1" applyFont="1" applyFill="1" applyAlignment="1"/>
    <xf numFmtId="195" fontId="2" fillId="3" borderId="2" xfId="51" applyNumberFormat="1" applyFont="1" applyFill="1" applyBorder="1" applyAlignment="1">
      <alignment horizontal="center"/>
    </xf>
    <xf numFmtId="0" fontId="8" fillId="0" borderId="0" xfId="51" applyFont="1" applyFill="1" applyAlignment="1">
      <alignment horizontal="center"/>
    </xf>
    <xf numFmtId="196" fontId="2" fillId="0" borderId="0" xfId="49" applyNumberFormat="1" applyFont="1" applyAlignment="1"/>
    <xf numFmtId="197" fontId="2" fillId="0" borderId="0" xfId="51" applyNumberFormat="1" applyFont="1"/>
    <xf numFmtId="0" fontId="11" fillId="8" borderId="0" xfId="51" applyFont="1" applyFill="1"/>
    <xf numFmtId="0" fontId="7" fillId="8" borderId="0" xfId="51" applyFont="1" applyFill="1" applyAlignment="1">
      <alignment horizontal="center"/>
    </xf>
    <xf numFmtId="181" fontId="11" fillId="8" borderId="0" xfId="51" applyNumberFormat="1" applyFont="1" applyFill="1"/>
    <xf numFmtId="0" fontId="17" fillId="2" borderId="1" xfId="51" applyFont="1" applyFill="1" applyBorder="1"/>
    <xf numFmtId="0" fontId="2" fillId="2" borderId="4" xfId="51" applyFont="1" applyFill="1" applyBorder="1"/>
    <xf numFmtId="0" fontId="2" fillId="2" borderId="13" xfId="51" applyFont="1" applyFill="1" applyBorder="1"/>
    <xf numFmtId="0" fontId="5" fillId="2" borderId="13" xfId="51" applyFont="1" applyFill="1" applyBorder="1" applyAlignment="1">
      <alignment horizontal="centerContinuous"/>
    </xf>
    <xf numFmtId="0" fontId="11" fillId="2" borderId="13" xfId="51" applyFont="1" applyFill="1" applyBorder="1" applyAlignment="1">
      <alignment horizontal="centerContinuous"/>
    </xf>
    <xf numFmtId="0" fontId="2" fillId="2" borderId="14" xfId="51" applyFont="1" applyFill="1" applyBorder="1"/>
    <xf numFmtId="193" fontId="18" fillId="4" borderId="0" xfId="51" applyNumberFormat="1" applyFont="1" applyFill="1"/>
    <xf numFmtId="176" fontId="8" fillId="4" borderId="13" xfId="51" applyNumberFormat="1" applyFont="1" applyFill="1" applyBorder="1" applyAlignment="1">
      <alignment horizontal="center"/>
    </xf>
    <xf numFmtId="176" fontId="2" fillId="4" borderId="13" xfId="51" applyNumberFormat="1" applyFont="1" applyFill="1" applyBorder="1" applyAlignment="1">
      <alignment horizontal="center"/>
    </xf>
    <xf numFmtId="0" fontId="5" fillId="2" borderId="14" xfId="51" applyFont="1" applyFill="1" applyBorder="1" applyAlignment="1">
      <alignment horizontal="center" vertical="center" wrapText="1"/>
    </xf>
    <xf numFmtId="198" fontId="8" fillId="4" borderId="15" xfId="51" applyNumberFormat="1" applyFont="1" applyFill="1" applyBorder="1" applyAlignment="1">
      <alignment horizontal="center"/>
    </xf>
    <xf numFmtId="193" fontId="2" fillId="0" borderId="0" xfId="49" applyNumberFormat="1" applyFont="1" applyFill="1" applyAlignment="1"/>
    <xf numFmtId="0" fontId="19" fillId="0" borderId="14" xfId="0" applyFont="1" applyFill="1" applyBorder="1" applyAlignment="1">
      <alignment horizontal="center" vertical="center" wrapText="1"/>
    </xf>
    <xf numFmtId="198" fontId="2" fillId="4" borderId="15" xfId="51" applyNumberFormat="1" applyFont="1" applyFill="1" applyBorder="1" applyAlignment="1">
      <alignment horizontal="center"/>
    </xf>
    <xf numFmtId="192" fontId="2" fillId="0" borderId="0" xfId="49" applyNumberFormat="1" applyFont="1" applyFill="1" applyAlignment="1"/>
    <xf numFmtId="198" fontId="11" fillId="4" borderId="15" xfId="51" applyNumberFormat="1" applyFont="1" applyFill="1" applyBorder="1" applyAlignment="1">
      <alignment horizontal="center"/>
    </xf>
    <xf numFmtId="192" fontId="11" fillId="0" borderId="0" xfId="49" applyNumberFormat="1" applyFont="1" applyFill="1" applyAlignment="1"/>
    <xf numFmtId="0" fontId="19" fillId="0" borderId="16" xfId="0" applyFont="1" applyFill="1" applyBorder="1" applyAlignment="1">
      <alignment horizontal="center" vertical="center" wrapText="1"/>
    </xf>
    <xf numFmtId="198" fontId="2" fillId="4" borderId="12" xfId="51" applyNumberFormat="1" applyFont="1" applyFill="1" applyBorder="1" applyAlignment="1">
      <alignment horizontal="center"/>
    </xf>
    <xf numFmtId="176" fontId="8" fillId="4" borderId="15" xfId="51" applyNumberFormat="1" applyFont="1" applyFill="1" applyBorder="1" applyAlignment="1">
      <alignment horizontal="center"/>
    </xf>
    <xf numFmtId="176" fontId="2" fillId="4" borderId="15" xfId="51" applyNumberFormat="1" applyFont="1" applyFill="1" applyBorder="1" applyAlignment="1">
      <alignment horizontal="center"/>
    </xf>
    <xf numFmtId="199" fontId="2" fillId="0" borderId="0" xfId="51" applyNumberFormat="1" applyFont="1"/>
    <xf numFmtId="193" fontId="2" fillId="0" borderId="0" xfId="51" applyNumberFormat="1" applyFont="1"/>
    <xf numFmtId="0" fontId="11" fillId="2" borderId="17" xfId="51" applyFont="1" applyFill="1" applyBorder="1" applyAlignment="1">
      <alignment horizontal="centerContinuous"/>
    </xf>
    <xf numFmtId="0" fontId="11" fillId="0" borderId="0" xfId="51" applyFont="1" applyFill="1" applyAlignment="1"/>
    <xf numFmtId="176" fontId="11" fillId="4" borderId="13" xfId="51" applyNumberFormat="1" applyFont="1" applyFill="1" applyBorder="1" applyAlignment="1">
      <alignment horizontal="center"/>
    </xf>
    <xf numFmtId="176" fontId="2" fillId="4" borderId="17" xfId="51" applyNumberFormat="1" applyFont="1" applyFill="1" applyBorder="1" applyAlignment="1">
      <alignment horizontal="center"/>
    </xf>
    <xf numFmtId="176" fontId="2" fillId="0" borderId="0" xfId="51" applyNumberFormat="1" applyFont="1" applyFill="1" applyAlignment="1"/>
    <xf numFmtId="193" fontId="11" fillId="0" borderId="0" xfId="49" applyNumberFormat="1" applyFont="1" applyFill="1" applyAlignment="1"/>
    <xf numFmtId="0" fontId="2" fillId="0" borderId="0" xfId="51" applyFont="1" applyAlignment="1"/>
    <xf numFmtId="176" fontId="11" fillId="4" borderId="15" xfId="51" applyNumberFormat="1" applyFont="1" applyFill="1" applyBorder="1" applyAlignment="1">
      <alignment horizontal="center"/>
    </xf>
    <xf numFmtId="176" fontId="2" fillId="4" borderId="16" xfId="51" applyNumberFormat="1" applyFont="1" applyFill="1" applyBorder="1" applyAlignment="1">
      <alignment horizontal="center"/>
    </xf>
    <xf numFmtId="200" fontId="2" fillId="0" borderId="0" xfId="51" applyNumberFormat="1" applyFont="1"/>
    <xf numFmtId="0" fontId="3" fillId="0" borderId="0" xfId="0" applyNumberFormat="1" applyFont="1" applyFill="1" applyAlignment="1"/>
    <xf numFmtId="0" fontId="14" fillId="0" borderId="0" xfId="0" applyNumberFormat="1" applyFont="1" applyFill="1" applyAlignment="1">
      <alignment horizontal="left"/>
    </xf>
    <xf numFmtId="0" fontId="5" fillId="2" borderId="1" xfId="0" applyNumberFormat="1" applyFont="1" applyFill="1" applyBorder="1" applyAlignment="1">
      <alignment horizontal="left"/>
    </xf>
    <xf numFmtId="0" fontId="6" fillId="2" borderId="1" xfId="0" applyNumberFormat="1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183" fontId="5" fillId="2" borderId="1" xfId="0" applyNumberFormat="1" applyFont="1" applyFill="1" applyBorder="1" applyAlignment="1">
      <alignment horizontal="center"/>
    </xf>
    <xf numFmtId="0" fontId="9" fillId="4" borderId="13" xfId="0" applyFont="1" applyFill="1" applyBorder="1" applyAlignment="1">
      <alignment horizontal="left"/>
    </xf>
    <xf numFmtId="0" fontId="4" fillId="4" borderId="13" xfId="0" applyFont="1" applyFill="1" applyBorder="1" applyAlignment="1">
      <alignment horizontal="centerContinuous"/>
    </xf>
    <xf numFmtId="0" fontId="9" fillId="0" borderId="0" xfId="0" applyFont="1" applyFill="1" applyAlignment="1">
      <alignment horizontal="left"/>
    </xf>
    <xf numFmtId="0" fontId="4" fillId="0" borderId="0" xfId="0" applyFont="1" applyFill="1" applyAlignment="1">
      <alignment horizontal="centerContinuous"/>
    </xf>
    <xf numFmtId="0" fontId="14" fillId="0" borderId="0" xfId="0" applyNumberFormat="1" applyFont="1" applyFill="1" applyAlignment="1">
      <alignment horizontal="center"/>
    </xf>
    <xf numFmtId="201" fontId="8" fillId="3" borderId="2" xfId="0" applyNumberFormat="1" applyFont="1" applyFill="1" applyBorder="1" applyAlignment="1" applyProtection="1">
      <alignment horizontal="center"/>
      <protection locked="0"/>
    </xf>
    <xf numFmtId="0" fontId="16" fillId="4" borderId="0" xfId="0" applyFont="1" applyFill="1" applyAlignment="1">
      <alignment horizontal="center"/>
    </xf>
    <xf numFmtId="0" fontId="16" fillId="4" borderId="1" xfId="0" applyFont="1" applyFill="1" applyBorder="1" applyAlignment="1">
      <alignment horizontal="center"/>
    </xf>
    <xf numFmtId="181" fontId="20" fillId="0" borderId="0" xfId="0" applyNumberFormat="1" applyFont="1" applyFill="1" applyAlignment="1">
      <alignment horizontal="centerContinuous"/>
    </xf>
    <xf numFmtId="180" fontId="21" fillId="0" borderId="0" xfId="0" applyNumberFormat="1" applyFont="1" applyFill="1" applyAlignment="1">
      <alignment horizontal="centerContinuous"/>
    </xf>
    <xf numFmtId="178" fontId="22" fillId="3" borderId="2" xfId="0" applyNumberFormat="1" applyFont="1" applyFill="1" applyBorder="1" applyAlignment="1"/>
    <xf numFmtId="178" fontId="22" fillId="3" borderId="18" xfId="0" applyNumberFormat="1" applyFont="1" applyFill="1" applyBorder="1" applyAlignment="1"/>
    <xf numFmtId="0" fontId="16" fillId="0" borderId="3" xfId="0" applyFont="1" applyFill="1" applyBorder="1" applyAlignment="1"/>
    <xf numFmtId="0" fontId="14" fillId="0" borderId="3" xfId="0" applyNumberFormat="1" applyFont="1" applyFill="1" applyBorder="1" applyAlignment="1">
      <alignment horizontal="center"/>
    </xf>
    <xf numFmtId="180" fontId="16" fillId="0" borderId="3" xfId="0" applyNumberFormat="1" applyFont="1" applyFill="1" applyBorder="1" applyAlignment="1">
      <alignment horizontal="centerContinuous"/>
    </xf>
    <xf numFmtId="0" fontId="4" fillId="0" borderId="1" xfId="0" applyFont="1" applyFill="1" applyBorder="1" applyAlignment="1">
      <alignment horizontal="left" indent="1"/>
    </xf>
    <xf numFmtId="0" fontId="16" fillId="0" borderId="0" xfId="0" applyFont="1" applyFill="1" applyAlignment="1"/>
    <xf numFmtId="201" fontId="4" fillId="0" borderId="0" xfId="0" applyNumberFormat="1" applyFont="1" applyFill="1" applyAlignment="1"/>
    <xf numFmtId="181" fontId="16" fillId="0" borderId="0" xfId="0" applyNumberFormat="1" applyFont="1" applyFill="1" applyAlignment="1">
      <alignment horizontal="centerContinuous"/>
    </xf>
    <xf numFmtId="180" fontId="16" fillId="0" borderId="0" xfId="0" applyNumberFormat="1" applyFont="1" applyFill="1" applyAlignment="1">
      <alignment horizontal="centerContinuous"/>
    </xf>
    <xf numFmtId="192" fontId="4" fillId="0" borderId="0" xfId="0" applyNumberFormat="1" applyFont="1" applyFill="1" applyAlignment="1"/>
    <xf numFmtId="180" fontId="20" fillId="0" borderId="19" xfId="0" applyNumberFormat="1" applyFont="1" applyFill="1" applyBorder="1" applyAlignment="1"/>
    <xf numFmtId="180" fontId="22" fillId="3" borderId="18" xfId="0" applyNumberFormat="1" applyFont="1" applyFill="1" applyBorder="1" applyAlignment="1"/>
    <xf numFmtId="0" fontId="14" fillId="0" borderId="1" xfId="0" applyNumberFormat="1" applyFont="1" applyFill="1" applyBorder="1" applyAlignment="1">
      <alignment horizontal="center"/>
    </xf>
    <xf numFmtId="192" fontId="4" fillId="0" borderId="1" xfId="0" applyNumberFormat="1" applyFont="1" applyFill="1" applyBorder="1" applyAlignment="1"/>
    <xf numFmtId="201" fontId="8" fillId="3" borderId="20" xfId="0" applyNumberFormat="1" applyFont="1" applyFill="1" applyBorder="1" applyAlignment="1" applyProtection="1">
      <alignment horizontal="center"/>
      <protection locked="0"/>
    </xf>
    <xf numFmtId="199" fontId="23" fillId="0" borderId="0" xfId="0" applyNumberFormat="1" applyFont="1" applyFill="1" applyAlignment="1"/>
    <xf numFmtId="180" fontId="22" fillId="3" borderId="2" xfId="0" applyNumberFormat="1" applyFont="1" applyFill="1" applyBorder="1" applyAlignment="1"/>
    <xf numFmtId="185" fontId="21" fillId="0" borderId="0" xfId="0" applyNumberFormat="1" applyFont="1" applyFill="1" applyAlignment="1"/>
    <xf numFmtId="178" fontId="20" fillId="0" borderId="0" xfId="0" applyNumberFormat="1" applyFont="1" applyFill="1" applyAlignment="1"/>
    <xf numFmtId="185" fontId="22" fillId="0" borderId="0" xfId="0" applyNumberFormat="1" applyFont="1" applyFill="1" applyAlignment="1"/>
    <xf numFmtId="202" fontId="16" fillId="0" borderId="0" xfId="0" applyNumberFormat="1" applyFont="1" applyFill="1" applyAlignment="1"/>
    <xf numFmtId="177" fontId="16" fillId="0" borderId="0" xfId="0" applyNumberFormat="1" applyFont="1" applyFill="1" applyAlignment="1"/>
    <xf numFmtId="0" fontId="4" fillId="0" borderId="0" xfId="0" applyFont="1" applyFill="1" applyAlignment="1">
      <alignment horizontal="left"/>
    </xf>
    <xf numFmtId="181" fontId="20" fillId="0" borderId="0" xfId="0" applyNumberFormat="1" applyFont="1" applyFill="1" applyAlignment="1"/>
    <xf numFmtId="0" fontId="4" fillId="0" borderId="3" xfId="0" applyFont="1" applyFill="1" applyBorder="1" applyAlignment="1"/>
    <xf numFmtId="192" fontId="4" fillId="0" borderId="3" xfId="0" applyNumberFormat="1" applyFont="1" applyFill="1" applyBorder="1" applyAlignment="1"/>
    <xf numFmtId="178" fontId="23" fillId="0" borderId="0" xfId="0" applyNumberFormat="1" applyFont="1" applyFill="1" applyAlignment="1"/>
    <xf numFmtId="193" fontId="12" fillId="0" borderId="0" xfId="0" applyNumberFormat="1" applyFont="1" applyFill="1" applyAlignment="1">
      <alignment horizontal="right"/>
    </xf>
    <xf numFmtId="0" fontId="7" fillId="0" borderId="1" xfId="51" applyFont="1" applyBorder="1" applyAlignment="1">
      <alignment horizontal="center"/>
    </xf>
    <xf numFmtId="0" fontId="14" fillId="0" borderId="1" xfId="0" applyFont="1" applyFill="1" applyBorder="1" applyAlignment="1"/>
    <xf numFmtId="182" fontId="2" fillId="0" borderId="1" xfId="0" applyNumberFormat="1" applyFont="1" applyFill="1" applyBorder="1" applyAlignment="1"/>
    <xf numFmtId="0" fontId="11" fillId="0" borderId="3" xfId="51" applyNumberFormat="1" applyFont="1" applyBorder="1"/>
    <xf numFmtId="182" fontId="14" fillId="0" borderId="3" xfId="0" applyNumberFormat="1" applyFont="1" applyFill="1" applyBorder="1" applyAlignment="1"/>
    <xf numFmtId="183" fontId="5" fillId="0" borderId="0" xfId="0" applyNumberFormat="1" applyFont="1" applyFill="1" applyAlignment="1">
      <alignment horizontal="center"/>
    </xf>
    <xf numFmtId="0" fontId="16" fillId="0" borderId="0" xfId="0" applyFont="1" applyFill="1" applyAlignment="1">
      <alignment horizontal="center"/>
    </xf>
    <xf numFmtId="201" fontId="2" fillId="0" borderId="0" xfId="0" applyNumberFormat="1" applyFont="1" applyFill="1" applyAlignment="1" applyProtection="1">
      <alignment horizontal="center"/>
      <protection locked="0"/>
    </xf>
    <xf numFmtId="180" fontId="23" fillId="0" borderId="0" xfId="0" applyNumberFormat="1" applyFont="1" applyFill="1" applyAlignment="1"/>
    <xf numFmtId="202" fontId="4" fillId="0" borderId="0" xfId="0" applyNumberFormat="1" applyFont="1" applyFill="1" applyAlignment="1"/>
    <xf numFmtId="185" fontId="4" fillId="0" borderId="0" xfId="0" applyNumberFormat="1" applyFont="1" applyFill="1" applyAlignment="1"/>
    <xf numFmtId="193" fontId="2" fillId="0" borderId="0" xfId="0" applyNumberFormat="1" applyFont="1" applyFill="1" applyAlignment="1"/>
    <xf numFmtId="193" fontId="16" fillId="0" borderId="0" xfId="0" applyNumberFormat="1" applyFont="1" applyFill="1" applyAlignment="1"/>
    <xf numFmtId="193" fontId="12" fillId="0" borderId="0" xfId="0" applyNumberFormat="1" applyFont="1" applyFill="1" applyAlignment="1"/>
    <xf numFmtId="201" fontId="10" fillId="0" borderId="0" xfId="0" applyNumberFormat="1" applyFont="1" applyFill="1" applyAlignment="1"/>
    <xf numFmtId="189" fontId="2" fillId="0" borderId="0" xfId="0" applyNumberFormat="1" applyFont="1" applyFill="1" applyAlignment="1"/>
    <xf numFmtId="203" fontId="8" fillId="4" borderId="14" xfId="51" applyNumberFormat="1" applyFont="1" applyFill="1" applyBorder="1" applyAlignment="1">
      <alignment horizontal="center"/>
    </xf>
    <xf numFmtId="193" fontId="4" fillId="0" borderId="0" xfId="0" applyNumberFormat="1" applyFont="1" applyFill="1" applyAlignment="1"/>
    <xf numFmtId="203" fontId="2" fillId="4" borderId="14" xfId="51" applyNumberFormat="1" applyFont="1" applyFill="1" applyBorder="1" applyAlignment="1">
      <alignment horizontal="center"/>
    </xf>
    <xf numFmtId="192" fontId="10" fillId="0" borderId="0" xfId="0" applyNumberFormat="1" applyFont="1" applyFill="1" applyAlignment="1"/>
    <xf numFmtId="203" fontId="11" fillId="4" borderId="14" xfId="51" applyNumberFormat="1" applyFont="1" applyFill="1" applyBorder="1" applyAlignment="1">
      <alignment horizontal="center"/>
    </xf>
    <xf numFmtId="192" fontId="16" fillId="0" borderId="0" xfId="0" applyNumberFormat="1" applyFont="1" applyFill="1" applyAlignment="1"/>
    <xf numFmtId="203" fontId="2" fillId="4" borderId="15" xfId="51" applyNumberFormat="1" applyFont="1" applyFill="1" applyBorder="1" applyAlignment="1">
      <alignment horizontal="center"/>
    </xf>
    <xf numFmtId="0" fontId="19" fillId="0" borderId="16" xfId="0" applyFont="1" applyFill="1" applyBorder="1" applyAlignment="1">
      <alignment horizontal="center" vertical="center"/>
    </xf>
    <xf numFmtId="203" fontId="2" fillId="4" borderId="16" xfId="51" applyNumberFormat="1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192" fontId="11" fillId="0" borderId="0" xfId="51" applyNumberFormat="1" applyFont="1"/>
    <xf numFmtId="192" fontId="2" fillId="0" borderId="0" xfId="51" applyNumberFormat="1" applyFont="1"/>
    <xf numFmtId="0" fontId="8" fillId="3" borderId="2" xfId="0" applyNumberFormat="1" applyFont="1" applyFill="1" applyBorder="1" applyAlignment="1" applyProtection="1">
      <alignment horizontal="centerContinuous"/>
      <protection locked="0"/>
    </xf>
    <xf numFmtId="0" fontId="2" fillId="0" borderId="0" xfId="0" applyNumberFormat="1" applyFont="1" applyFill="1" applyAlignment="1"/>
    <xf numFmtId="0" fontId="7" fillId="0" borderId="0" xfId="0" applyNumberFormat="1" applyFont="1" applyFill="1" applyAlignment="1">
      <alignment horizontal="center"/>
    </xf>
    <xf numFmtId="204" fontId="8" fillId="3" borderId="2" xfId="0" applyNumberFormat="1" applyFont="1" applyFill="1" applyBorder="1" applyAlignment="1">
      <alignment horizontal="center"/>
    </xf>
    <xf numFmtId="0" fontId="7" fillId="0" borderId="0" xfId="0" applyNumberFormat="1" applyFont="1" applyFill="1" applyAlignment="1">
      <alignment horizontal="left"/>
    </xf>
    <xf numFmtId="193" fontId="8" fillId="3" borderId="2" xfId="0" applyNumberFormat="1" applyFont="1" applyFill="1" applyBorder="1" applyAlignment="1"/>
    <xf numFmtId="182" fontId="8" fillId="3" borderId="2" xfId="0" applyNumberFormat="1" applyFont="1" applyFill="1" applyBorder="1" applyAlignment="1"/>
    <xf numFmtId="201" fontId="2" fillId="0" borderId="21" xfId="0" applyNumberFormat="1" applyFont="1" applyFill="1" applyBorder="1" applyAlignment="1" applyProtection="1">
      <alignment horizontal="center"/>
      <protection locked="0"/>
    </xf>
    <xf numFmtId="0" fontId="11" fillId="0" borderId="0" xfId="0" applyNumberFormat="1" applyFont="1" applyFill="1" applyAlignment="1"/>
    <xf numFmtId="0" fontId="11" fillId="0" borderId="0" xfId="0" applyNumberFormat="1" applyFont="1" applyFill="1" applyAlignment="1">
      <alignment horizontal="center"/>
    </xf>
    <xf numFmtId="0" fontId="5" fillId="2" borderId="0" xfId="0" applyNumberFormat="1" applyFont="1" applyFill="1" applyAlignment="1">
      <alignment horizontal="left"/>
    </xf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5" fillId="2" borderId="7" xfId="0" applyNumberFormat="1" applyFont="1" applyFill="1" applyBorder="1" applyAlignment="1">
      <alignment horizontal="centerContinuous"/>
    </xf>
    <xf numFmtId="205" fontId="5" fillId="2" borderId="22" xfId="0" applyNumberFormat="1" applyFont="1" applyFill="1" applyBorder="1" applyAlignment="1">
      <alignment horizontal="center"/>
    </xf>
    <xf numFmtId="206" fontId="5" fillId="2" borderId="22" xfId="0" applyNumberFormat="1" applyFont="1" applyFill="1" applyBorder="1" applyAlignment="1">
      <alignment horizontal="center"/>
    </xf>
    <xf numFmtId="207" fontId="5" fillId="2" borderId="22" xfId="0" applyNumberFormat="1" applyFont="1" applyFill="1" applyBorder="1" applyAlignment="1">
      <alignment horizontal="center"/>
    </xf>
    <xf numFmtId="208" fontId="4" fillId="0" borderId="0" xfId="0" applyNumberFormat="1" applyFont="1" applyFill="1" applyAlignment="1"/>
    <xf numFmtId="0" fontId="4" fillId="0" borderId="0" xfId="0" applyNumberFormat="1" applyFont="1" applyFill="1" applyAlignment="1">
      <alignment horizontal="left" indent="1"/>
    </xf>
    <xf numFmtId="181" fontId="22" fillId="0" borderId="0" xfId="0" applyNumberFormat="1" applyFont="1" applyFill="1" applyAlignment="1"/>
    <xf numFmtId="180" fontId="22" fillId="0" borderId="0" xfId="0" applyNumberFormat="1" applyFont="1" applyFill="1" applyAlignment="1"/>
    <xf numFmtId="0" fontId="4" fillId="0" borderId="1" xfId="0" applyNumberFormat="1" applyFont="1" applyFill="1" applyBorder="1" applyAlignment="1">
      <alignment horizontal="left" indent="1"/>
    </xf>
    <xf numFmtId="208" fontId="4" fillId="0" borderId="1" xfId="0" applyNumberFormat="1" applyFont="1" applyFill="1" applyBorder="1" applyAlignment="1"/>
    <xf numFmtId="180" fontId="22" fillId="0" borderId="1" xfId="0" applyNumberFormat="1" applyFont="1" applyFill="1" applyBorder="1" applyAlignment="1"/>
    <xf numFmtId="0" fontId="16" fillId="0" borderId="0" xfId="0" applyNumberFormat="1" applyFont="1" applyFill="1" applyAlignment="1">
      <alignment horizontal="left"/>
    </xf>
    <xf numFmtId="180" fontId="16" fillId="0" borderId="0" xfId="0" applyNumberFormat="1" applyFont="1" applyFill="1" applyAlignment="1"/>
    <xf numFmtId="209" fontId="4" fillId="0" borderId="0" xfId="0" applyNumberFormat="1" applyFont="1" applyFill="1" applyAlignment="1"/>
    <xf numFmtId="9" fontId="4" fillId="0" borderId="0" xfId="0" applyNumberFormat="1" applyFont="1" applyFill="1" applyAlignment="1"/>
    <xf numFmtId="180" fontId="16" fillId="0" borderId="3" xfId="0" applyNumberFormat="1" applyFont="1" applyFill="1" applyBorder="1" applyAlignment="1"/>
    <xf numFmtId="179" fontId="4" fillId="0" borderId="0" xfId="0" applyNumberFormat="1" applyFont="1" applyFill="1" applyAlignment="1"/>
    <xf numFmtId="178" fontId="4" fillId="0" borderId="0" xfId="0" applyNumberFormat="1" applyFont="1" applyFill="1" applyAlignment="1"/>
    <xf numFmtId="178" fontId="22" fillId="0" borderId="0" xfId="0" applyNumberFormat="1" applyFont="1" applyFill="1" applyAlignment="1"/>
    <xf numFmtId="181" fontId="16" fillId="0" borderId="3" xfId="0" applyNumberFormat="1" applyFont="1" applyFill="1" applyBorder="1" applyAlignment="1"/>
    <xf numFmtId="210" fontId="4" fillId="0" borderId="0" xfId="0" applyNumberFormat="1" applyFont="1" applyFill="1" applyAlignment="1"/>
    <xf numFmtId="211" fontId="22" fillId="0" borderId="0" xfId="0" applyNumberFormat="1" applyFont="1" applyFill="1" applyAlignment="1"/>
    <xf numFmtId="0" fontId="24" fillId="0" borderId="0" xfId="0" applyFont="1" applyFill="1" applyAlignment="1">
      <alignment horizontal="center"/>
    </xf>
    <xf numFmtId="182" fontId="8" fillId="0" borderId="3" xfId="0" applyNumberFormat="1" applyFont="1" applyFill="1" applyBorder="1" applyAlignment="1"/>
    <xf numFmtId="193" fontId="8" fillId="0" borderId="3" xfId="0" applyNumberFormat="1" applyFont="1" applyFill="1" applyBorder="1" applyAlignment="1">
      <alignment horizontal="right"/>
    </xf>
    <xf numFmtId="182" fontId="8" fillId="0" borderId="0" xfId="0" applyNumberFormat="1" applyFont="1" applyFill="1" applyAlignment="1"/>
    <xf numFmtId="0" fontId="14" fillId="0" borderId="0" xfId="0" applyFont="1" applyFill="1" applyAlignment="1"/>
    <xf numFmtId="182" fontId="9" fillId="0" borderId="3" xfId="0" applyNumberFormat="1" applyFont="1" applyFill="1" applyBorder="1" applyAlignment="1"/>
    <xf numFmtId="0" fontId="14" fillId="0" borderId="3" xfId="0" applyNumberFormat="1" applyFont="1" applyFill="1" applyBorder="1" applyAlignment="1"/>
    <xf numFmtId="0" fontId="11" fillId="6" borderId="1" xfId="51" applyFont="1" applyFill="1" applyBorder="1" applyAlignment="1">
      <alignment horizontal="left"/>
    </xf>
    <xf numFmtId="0" fontId="4" fillId="6" borderId="1" xfId="0" applyFont="1" applyFill="1" applyBorder="1" applyAlignment="1"/>
    <xf numFmtId="177" fontId="23" fillId="6" borderId="1" xfId="0" applyNumberFormat="1" applyFont="1" applyFill="1" applyBorder="1" applyAlignment="1"/>
    <xf numFmtId="178" fontId="21" fillId="0" borderId="0" xfId="0" applyNumberFormat="1" applyFont="1" applyFill="1" applyAlignment="1"/>
    <xf numFmtId="178" fontId="2" fillId="0" borderId="0" xfId="0" applyNumberFormat="1" applyFont="1" applyFill="1" applyAlignment="1">
      <alignment horizontal="right"/>
    </xf>
    <xf numFmtId="178" fontId="8" fillId="0" borderId="0" xfId="0" applyNumberFormat="1" applyFont="1" applyFill="1" applyAlignment="1">
      <alignment horizontal="right"/>
    </xf>
    <xf numFmtId="0" fontId="11" fillId="6" borderId="3" xfId="0" applyNumberFormat="1" applyFont="1" applyFill="1" applyBorder="1" applyAlignment="1"/>
    <xf numFmtId="0" fontId="2" fillId="6" borderId="3" xfId="0" applyNumberFormat="1" applyFont="1" applyFill="1" applyBorder="1" applyAlignment="1"/>
    <xf numFmtId="177" fontId="11" fillId="6" borderId="3" xfId="0" applyNumberFormat="1" applyFont="1" applyFill="1" applyBorder="1" applyAlignment="1">
      <alignment horizontal="right"/>
    </xf>
    <xf numFmtId="0" fontId="2" fillId="0" borderId="0" xfId="0" applyNumberFormat="1" applyFont="1" applyFill="1" applyAlignment="1">
      <alignment horizontal="right"/>
    </xf>
    <xf numFmtId="0" fontId="5" fillId="2" borderId="6" xfId="0" applyNumberFormat="1" applyFont="1" applyFill="1" applyBorder="1" applyAlignment="1">
      <alignment horizontal="centerContinuous"/>
    </xf>
    <xf numFmtId="0" fontId="5" fillId="2" borderId="23" xfId="0" applyNumberFormat="1" applyFont="1" applyFill="1" applyBorder="1" applyAlignment="1">
      <alignment horizontal="centerContinuous"/>
    </xf>
    <xf numFmtId="212" fontId="5" fillId="2" borderId="22" xfId="0" applyNumberFormat="1" applyFont="1" applyFill="1" applyBorder="1" applyAlignment="1">
      <alignment horizontal="center"/>
    </xf>
    <xf numFmtId="206" fontId="5" fillId="2" borderId="24" xfId="0" applyNumberFormat="1" applyFont="1" applyFill="1" applyBorder="1" applyAlignment="1">
      <alignment horizontal="center"/>
    </xf>
    <xf numFmtId="189" fontId="2" fillId="0" borderId="0" xfId="0" applyNumberFormat="1" applyFont="1" applyFill="1" applyAlignment="1">
      <alignment horizontal="center"/>
    </xf>
    <xf numFmtId="181" fontId="21" fillId="0" borderId="0" xfId="0" applyNumberFormat="1" applyFont="1" applyFill="1" applyAlignment="1"/>
    <xf numFmtId="180" fontId="21" fillId="0" borderId="0" xfId="0" applyNumberFormat="1" applyFont="1" applyFill="1" applyAlignment="1"/>
    <xf numFmtId="180" fontId="21" fillId="0" borderId="1" xfId="0" applyNumberFormat="1" applyFont="1" applyFill="1" applyBorder="1" applyAlignment="1"/>
    <xf numFmtId="213" fontId="22" fillId="0" borderId="0" xfId="0" applyNumberFormat="1" applyFont="1" applyFill="1" applyAlignment="1"/>
    <xf numFmtId="200" fontId="4" fillId="0" borderId="0" xfId="0" applyNumberFormat="1" applyFont="1" applyFill="1" applyAlignment="1"/>
    <xf numFmtId="180" fontId="22" fillId="3" borderId="25" xfId="0" applyNumberFormat="1" applyFont="1" applyFill="1" applyBorder="1" applyAlignment="1"/>
    <xf numFmtId="180" fontId="21" fillId="3" borderId="25" xfId="0" applyNumberFormat="1" applyFont="1" applyFill="1" applyBorder="1" applyAlignment="1"/>
    <xf numFmtId="180" fontId="21" fillId="3" borderId="2" xfId="0" applyNumberFormat="1" applyFont="1" applyFill="1" applyBorder="1" applyAlignment="1"/>
    <xf numFmtId="180" fontId="4" fillId="0" borderId="0" xfId="0" applyNumberFormat="1" applyFont="1" applyFill="1" applyAlignment="1"/>
    <xf numFmtId="180" fontId="4" fillId="0" borderId="1" xfId="0" applyNumberFormat="1" applyFont="1" applyFill="1" applyBorder="1" applyAlignment="1"/>
    <xf numFmtId="178" fontId="21" fillId="0" borderId="1" xfId="0" applyNumberFormat="1" applyFont="1" applyFill="1" applyBorder="1" applyAlignment="1"/>
    <xf numFmtId="211" fontId="21" fillId="0" borderId="0" xfId="0" applyNumberFormat="1" applyFont="1" applyFill="1" applyAlignment="1"/>
    <xf numFmtId="183" fontId="5" fillId="2" borderId="26" xfId="0" applyNumberFormat="1" applyFont="1" applyFill="1" applyBorder="1" applyAlignment="1">
      <alignment horizontal="center"/>
    </xf>
    <xf numFmtId="183" fontId="5" fillId="2" borderId="27" xfId="0" applyNumberFormat="1" applyFont="1" applyFill="1" applyBorder="1" applyAlignment="1">
      <alignment horizontal="center"/>
    </xf>
    <xf numFmtId="189" fontId="8" fillId="0" borderId="0" xfId="0" applyNumberFormat="1" applyFont="1" applyFill="1" applyAlignment="1"/>
    <xf numFmtId="0" fontId="4" fillId="0" borderId="0" xfId="0" applyNumberFormat="1" applyFont="1" applyFill="1" applyAlignment="1">
      <alignment horizontal="left"/>
    </xf>
    <xf numFmtId="180" fontId="23" fillId="0" borderId="3" xfId="0" applyNumberFormat="1" applyFont="1" applyFill="1" applyBorder="1" applyAlignment="1"/>
    <xf numFmtId="178" fontId="16" fillId="0" borderId="3" xfId="0" applyNumberFormat="1" applyFont="1" applyFill="1" applyBorder="1" applyAlignment="1"/>
    <xf numFmtId="181" fontId="25" fillId="0" borderId="0" xfId="0" applyNumberFormat="1" applyFont="1" applyFill="1" applyAlignment="1"/>
    <xf numFmtId="201" fontId="2" fillId="3" borderId="2" xfId="0" applyNumberFormat="1" applyFont="1" applyFill="1" applyBorder="1" applyAlignment="1" applyProtection="1">
      <alignment horizontal="center"/>
      <protection locked="0"/>
    </xf>
    <xf numFmtId="199" fontId="21" fillId="0" borderId="0" xfId="0" applyNumberFormat="1" applyFont="1" applyFill="1" applyAlignment="1"/>
    <xf numFmtId="0" fontId="21" fillId="0" borderId="0" xfId="0" applyFont="1" applyFill="1" applyAlignment="1"/>
    <xf numFmtId="181" fontId="23" fillId="0" borderId="0" xfId="0" applyNumberFormat="1" applyFont="1" applyFill="1" applyAlignment="1"/>
    <xf numFmtId="177" fontId="4" fillId="0" borderId="0" xfId="0" applyNumberFormat="1" applyFont="1" applyFill="1" applyAlignment="1"/>
    <xf numFmtId="181" fontId="23" fillId="0" borderId="3" xfId="0" applyNumberFormat="1" applyFont="1" applyFill="1" applyBorder="1" applyAlignment="1"/>
    <xf numFmtId="181" fontId="16" fillId="0" borderId="0" xfId="0" applyNumberFormat="1" applyFont="1" applyFill="1" applyAlignment="1"/>
    <xf numFmtId="214" fontId="9" fillId="0" borderId="0" xfId="0" applyNumberFormat="1" applyFont="1" applyFill="1" applyAlignment="1">
      <alignment horizontal="center"/>
    </xf>
    <xf numFmtId="215" fontId="4" fillId="0" borderId="0" xfId="0" applyNumberFormat="1" applyFont="1" applyFill="1" applyAlignment="1"/>
    <xf numFmtId="181" fontId="4" fillId="0" borderId="0" xfId="0" applyNumberFormat="1" applyFont="1" applyFill="1" applyAlignment="1"/>
    <xf numFmtId="216" fontId="4" fillId="0" borderId="0" xfId="0" applyNumberFormat="1" applyFont="1" applyFill="1" applyAlignment="1"/>
    <xf numFmtId="211" fontId="4" fillId="0" borderId="0" xfId="0" applyNumberFormat="1" applyFont="1" applyFill="1" applyAlignment="1"/>
    <xf numFmtId="177" fontId="16" fillId="0" borderId="3" xfId="0" applyNumberFormat="1" applyFont="1" applyFill="1" applyBorder="1" applyAlignment="1"/>
    <xf numFmtId="199" fontId="4" fillId="0" borderId="0" xfId="0" applyNumberFormat="1" applyFont="1" applyFill="1" applyAlignment="1"/>
    <xf numFmtId="178" fontId="21" fillId="3" borderId="25" xfId="0" applyNumberFormat="1" applyFont="1" applyFill="1" applyBorder="1" applyAlignment="1"/>
    <xf numFmtId="178" fontId="4" fillId="0" borderId="28" xfId="0" applyNumberFormat="1" applyFont="1" applyFill="1" applyBorder="1" applyAlignment="1"/>
    <xf numFmtId="177" fontId="21" fillId="0" borderId="0" xfId="0" applyNumberFormat="1" applyFont="1" applyFill="1" applyAlignment="1"/>
    <xf numFmtId="178" fontId="22" fillId="3" borderId="25" xfId="0" applyNumberFormat="1" applyFont="1" applyFill="1" applyBorder="1" applyAlignment="1"/>
    <xf numFmtId="178" fontId="21" fillId="3" borderId="2" xfId="0" applyNumberFormat="1" applyFont="1" applyFill="1" applyBorder="1" applyAlignment="1"/>
    <xf numFmtId="178" fontId="21" fillId="3" borderId="29" xfId="0" applyNumberFormat="1" applyFont="1" applyFill="1" applyBorder="1" applyAlignment="1"/>
    <xf numFmtId="213" fontId="4" fillId="0" borderId="0" xfId="0" applyNumberFormat="1" applyFont="1" applyFill="1" applyAlignment="1"/>
    <xf numFmtId="178" fontId="21" fillId="3" borderId="20" xfId="0" applyNumberFormat="1" applyFont="1" applyFill="1" applyBorder="1" applyAlignment="1"/>
    <xf numFmtId="177" fontId="23" fillId="0" borderId="3" xfId="0" applyNumberFormat="1" applyFont="1" applyFill="1" applyBorder="1" applyAlignment="1"/>
    <xf numFmtId="182" fontId="21" fillId="0" borderId="0" xfId="0" applyNumberFormat="1" applyFont="1" applyFill="1" applyAlignment="1"/>
    <xf numFmtId="0" fontId="24" fillId="0" borderId="0" xfId="0" applyFont="1" applyFill="1" applyAlignment="1">
      <alignment horizontal="left" indent="1"/>
    </xf>
    <xf numFmtId="201" fontId="14" fillId="0" borderId="0" xfId="0" applyNumberFormat="1" applyFont="1" applyFill="1" applyAlignment="1"/>
    <xf numFmtId="0" fontId="24" fillId="0" borderId="0" xfId="0" applyFont="1" applyFill="1" applyAlignment="1"/>
    <xf numFmtId="217" fontId="24" fillId="0" borderId="0" xfId="0" applyNumberFormat="1" applyFont="1" applyFill="1" applyAlignment="1"/>
    <xf numFmtId="218" fontId="4" fillId="0" borderId="0" xfId="0" applyNumberFormat="1" applyFont="1" applyFill="1" applyAlignment="1"/>
    <xf numFmtId="198" fontId="8" fillId="3" borderId="9" xfId="49" applyNumberFormat="1" applyFont="1" applyFill="1" applyBorder="1" applyAlignment="1">
      <alignment horizontal="center"/>
    </xf>
    <xf numFmtId="219" fontId="8" fillId="3" borderId="2" xfId="0" applyNumberFormat="1" applyFont="1" applyFill="1" applyBorder="1" applyAlignment="1" applyProtection="1">
      <alignment horizontal="center"/>
      <protection locked="0"/>
    </xf>
    <xf numFmtId="217" fontId="4" fillId="0" borderId="0" xfId="0" applyNumberFormat="1" applyFont="1" applyFill="1" applyAlignment="1"/>
    <xf numFmtId="203" fontId="8" fillId="4" borderId="13" xfId="51" applyNumberFormat="1" applyFont="1" applyFill="1" applyBorder="1" applyAlignment="1">
      <alignment horizontal="center"/>
    </xf>
    <xf numFmtId="203" fontId="2" fillId="4" borderId="13" xfId="51" applyNumberFormat="1" applyFont="1" applyFill="1" applyBorder="1" applyAlignment="1">
      <alignment horizontal="center"/>
    </xf>
    <xf numFmtId="203" fontId="11" fillId="4" borderId="13" xfId="51" applyNumberFormat="1" applyFont="1" applyFill="1" applyBorder="1" applyAlignment="1">
      <alignment horizontal="center"/>
    </xf>
    <xf numFmtId="203" fontId="2" fillId="4" borderId="17" xfId="51" applyNumberFormat="1" applyFont="1" applyFill="1" applyBorder="1" applyAlignment="1">
      <alignment horizontal="center"/>
    </xf>
    <xf numFmtId="1" fontId="8" fillId="3" borderId="2" xfId="0" applyNumberFormat="1" applyFont="1" applyFill="1" applyBorder="1" applyAlignment="1" applyProtection="1">
      <alignment horizontal="center"/>
      <protection locked="0"/>
    </xf>
    <xf numFmtId="3" fontId="8" fillId="3" borderId="2" xfId="0" applyNumberFormat="1" applyFont="1" applyFill="1" applyBorder="1" applyAlignment="1"/>
    <xf numFmtId="180" fontId="22" fillId="3" borderId="29" xfId="0" applyNumberFormat="1" applyFont="1" applyFill="1" applyBorder="1" applyAlignment="1"/>
    <xf numFmtId="180" fontId="21" fillId="3" borderId="29" xfId="0" applyNumberFormat="1" applyFont="1" applyFill="1" applyBorder="1" applyAlignment="1"/>
    <xf numFmtId="180" fontId="21" fillId="3" borderId="20" xfId="0" applyNumberFormat="1" applyFont="1" applyFill="1" applyBorder="1" applyAlignment="1"/>
    <xf numFmtId="194" fontId="4" fillId="0" borderId="0" xfId="0" applyNumberFormat="1" applyFont="1" applyFill="1" applyAlignment="1"/>
    <xf numFmtId="0" fontId="5" fillId="2" borderId="1" xfId="49" applyFont="1" applyFill="1" applyBorder="1" applyAlignment="1"/>
    <xf numFmtId="0" fontId="5" fillId="2" borderId="1" xfId="49" applyFont="1" applyFill="1" applyBorder="1" applyAlignment="1">
      <alignment horizontal="centerContinuous"/>
    </xf>
    <xf numFmtId="177" fontId="26" fillId="6" borderId="1" xfId="0" applyNumberFormat="1" applyFont="1" applyFill="1" applyBorder="1" applyAlignment="1"/>
    <xf numFmtId="178" fontId="12" fillId="0" borderId="0" xfId="0" applyNumberFormat="1" applyFont="1" applyFill="1" applyAlignment="1">
      <alignment horizontal="right"/>
    </xf>
    <xf numFmtId="177" fontId="15" fillId="6" borderId="3" xfId="0" applyNumberFormat="1" applyFont="1" applyFill="1" applyBorder="1" applyAlignment="1">
      <alignment horizontal="right"/>
    </xf>
    <xf numFmtId="0" fontId="5" fillId="2" borderId="0" xfId="49" applyFont="1" applyFill="1" applyAlignment="1">
      <alignment horizontal="centerContinuous"/>
    </xf>
    <xf numFmtId="0" fontId="5" fillId="2" borderId="30" xfId="49" applyFont="1" applyFill="1" applyBorder="1" applyAlignment="1">
      <alignment horizontal="centerContinuous"/>
    </xf>
    <xf numFmtId="0" fontId="5" fillId="2" borderId="31" xfId="49" applyFont="1" applyFill="1" applyBorder="1" applyAlignment="1">
      <alignment horizontal="centerContinuous"/>
    </xf>
    <xf numFmtId="0" fontId="5" fillId="2" borderId="26" xfId="49" applyFont="1" applyFill="1" applyBorder="1" applyAlignment="1">
      <alignment horizontal="centerContinuous"/>
    </xf>
    <xf numFmtId="0" fontId="5" fillId="2" borderId="27" xfId="49" applyFont="1" applyFill="1" applyBorder="1" applyAlignment="1">
      <alignment horizontal="centerContinuous"/>
    </xf>
    <xf numFmtId="0" fontId="9" fillId="4" borderId="0" xfId="49" applyFont="1" applyFill="1" applyAlignment="1"/>
    <xf numFmtId="0" fontId="10" fillId="4" borderId="0" xfId="49" applyFont="1" applyFill="1"/>
    <xf numFmtId="0" fontId="10" fillId="4" borderId="4" xfId="49" applyFont="1" applyFill="1" applyBorder="1" applyAlignment="1">
      <alignment horizontal="center"/>
    </xf>
    <xf numFmtId="0" fontId="10" fillId="4" borderId="11" xfId="49" applyFont="1" applyFill="1" applyBorder="1" applyAlignment="1">
      <alignment horizontal="center"/>
    </xf>
    <xf numFmtId="0" fontId="9" fillId="4" borderId="1" xfId="49" applyFont="1" applyFill="1" applyBorder="1" applyAlignment="1"/>
    <xf numFmtId="0" fontId="9" fillId="4" borderId="1" xfId="49" applyFont="1" applyFill="1" applyBorder="1" applyAlignment="1">
      <alignment horizontal="centerContinuous"/>
    </xf>
    <xf numFmtId="0" fontId="9" fillId="4" borderId="5" xfId="49" applyFont="1" applyFill="1" applyBorder="1" applyAlignment="1">
      <alignment horizontal="center"/>
    </xf>
    <xf numFmtId="0" fontId="9" fillId="4" borderId="12" xfId="49" applyFont="1" applyFill="1" applyBorder="1" applyAlignment="1">
      <alignment horizontal="center"/>
    </xf>
    <xf numFmtId="181" fontId="12" fillId="0" borderId="0" xfId="49" applyNumberFormat="1" applyFont="1"/>
    <xf numFmtId="181" fontId="10" fillId="0" borderId="0" xfId="49" applyNumberFormat="1" applyFont="1"/>
    <xf numFmtId="203" fontId="10" fillId="0" borderId="4" xfId="49" applyNumberFormat="1" applyFont="1" applyBorder="1"/>
    <xf numFmtId="203" fontId="10" fillId="0" borderId="11" xfId="49" applyNumberFormat="1" applyFont="1" applyBorder="1"/>
    <xf numFmtId="180" fontId="12" fillId="0" borderId="0" xfId="49" applyNumberFormat="1" applyFont="1"/>
    <xf numFmtId="180" fontId="10" fillId="0" borderId="0" xfId="49" applyNumberFormat="1" applyFont="1"/>
    <xf numFmtId="203" fontId="10" fillId="0" borderId="32" xfId="49" applyNumberFormat="1" applyFont="1" applyBorder="1"/>
    <xf numFmtId="203" fontId="10" fillId="0" borderId="15" xfId="49" applyNumberFormat="1" applyFont="1" applyBorder="1"/>
    <xf numFmtId="0" fontId="10" fillId="0" borderId="32" xfId="49" applyFont="1" applyBorder="1"/>
    <xf numFmtId="0" fontId="10" fillId="0" borderId="15" xfId="49" applyFont="1" applyBorder="1"/>
    <xf numFmtId="0" fontId="9" fillId="4" borderId="5" xfId="49" applyFont="1" applyFill="1" applyBorder="1" applyAlignment="1"/>
    <xf numFmtId="0" fontId="9" fillId="4" borderId="12" xfId="49" applyFont="1" applyFill="1" applyBorder="1" applyAlignment="1"/>
    <xf numFmtId="204" fontId="10" fillId="0" borderId="0" xfId="49" applyNumberFormat="1" applyFont="1" applyAlignment="1">
      <alignment horizontal="left"/>
    </xf>
    <xf numFmtId="203" fontId="10" fillId="0" borderId="0" xfId="49" applyNumberFormat="1" applyFont="1"/>
    <xf numFmtId="0" fontId="9" fillId="0" borderId="0" xfId="49" applyFont="1"/>
    <xf numFmtId="203" fontId="10" fillId="0" borderId="0" xfId="49" applyNumberFormat="1" applyFont="1" applyAlignment="1">
      <alignment horizontal="center"/>
    </xf>
    <xf numFmtId="204" fontId="10" fillId="0" borderId="0" xfId="49" applyNumberFormat="1" applyFont="1" applyAlignment="1">
      <alignment horizontal="left" indent="1"/>
    </xf>
    <xf numFmtId="0" fontId="5" fillId="2" borderId="0" xfId="49" applyFont="1" applyFill="1" applyAlignment="1"/>
    <xf numFmtId="0" fontId="9" fillId="4" borderId="0" xfId="49" applyFont="1" applyFill="1" applyAlignment="1">
      <alignment horizontal="center"/>
    </xf>
    <xf numFmtId="0" fontId="9" fillId="4" borderId="4" xfId="49" applyFont="1" applyFill="1" applyBorder="1" applyAlignment="1">
      <alignment horizontal="center"/>
    </xf>
    <xf numFmtId="0" fontId="9" fillId="4" borderId="11" xfId="49" applyFont="1" applyFill="1" applyBorder="1" applyAlignment="1">
      <alignment horizontal="center"/>
    </xf>
    <xf numFmtId="0" fontId="9" fillId="4" borderId="1" xfId="49" applyFont="1" applyFill="1" applyBorder="1" applyAlignment="1">
      <alignment horizontal="center"/>
    </xf>
    <xf numFmtId="220" fontId="10" fillId="0" borderId="15" xfId="49" applyNumberFormat="1" applyFont="1" applyBorder="1"/>
    <xf numFmtId="181" fontId="10" fillId="0" borderId="11" xfId="49" applyNumberFormat="1" applyFont="1" applyBorder="1"/>
    <xf numFmtId="221" fontId="2" fillId="0" borderId="0" xfId="49" applyNumberFormat="1" applyFont="1" applyAlignment="1">
      <alignment horizontal="center"/>
    </xf>
    <xf numFmtId="193" fontId="10" fillId="0" borderId="0" xfId="49" applyNumberFormat="1" applyFont="1"/>
    <xf numFmtId="203" fontId="21" fillId="0" borderId="0" xfId="50" applyNumberFormat="1" applyFont="1" applyFill="1" applyBorder="1" applyAlignment="1"/>
    <xf numFmtId="180" fontId="10" fillId="0" borderId="15" xfId="49" applyNumberFormat="1" applyFont="1" applyBorder="1"/>
    <xf numFmtId="192" fontId="10" fillId="0" borderId="0" xfId="49" applyNumberFormat="1" applyFont="1"/>
    <xf numFmtId="180" fontId="10" fillId="0" borderId="11" xfId="49" applyNumberFormat="1" applyFont="1" applyBorder="1"/>
    <xf numFmtId="193" fontId="12" fillId="0" borderId="0" xfId="49" applyNumberFormat="1" applyFont="1"/>
    <xf numFmtId="192" fontId="12" fillId="0" borderId="0" xfId="49" applyNumberFormat="1" applyFont="1"/>
    <xf numFmtId="0" fontId="27" fillId="0" borderId="0" xfId="51" applyNumberFormat="1" applyFont="1" applyAlignment="1"/>
    <xf numFmtId="0" fontId="11" fillId="0" borderId="0" xfId="51" applyNumberFormat="1" applyFont="1" applyAlignment="1"/>
    <xf numFmtId="0" fontId="2" fillId="0" borderId="0" xfId="51" applyNumberFormat="1" applyFont="1" applyAlignment="1"/>
    <xf numFmtId="1" fontId="2" fillId="0" borderId="0" xfId="51" applyNumberFormat="1" applyFont="1"/>
    <xf numFmtId="0" fontId="17" fillId="2" borderId="0" xfId="52" applyFont="1" applyFill="1" applyAlignment="1">
      <alignment horizontal="left"/>
    </xf>
    <xf numFmtId="0" fontId="17" fillId="2" borderId="0" xfId="51" applyFont="1" applyFill="1"/>
    <xf numFmtId="0" fontId="28" fillId="2" borderId="0" xfId="51" applyFont="1" applyFill="1" applyAlignment="1">
      <alignment horizontal="centerContinuous"/>
    </xf>
    <xf numFmtId="0" fontId="29" fillId="2" borderId="0" xfId="51" applyFont="1" applyFill="1" applyAlignment="1">
      <alignment horizontal="centerContinuous"/>
    </xf>
    <xf numFmtId="0" fontId="30" fillId="2" borderId="0" xfId="51" applyFont="1" applyFill="1"/>
    <xf numFmtId="0" fontId="17" fillId="2" borderId="0" xfId="51" applyFont="1" applyFill="1" applyAlignment="1">
      <alignment horizontal="center"/>
    </xf>
    <xf numFmtId="0" fontId="17" fillId="2" borderId="1" xfId="51" applyFont="1" applyFill="1" applyBorder="1" applyAlignment="1">
      <alignment horizontal="center"/>
    </xf>
    <xf numFmtId="192" fontId="12" fillId="0" borderId="0" xfId="51" applyNumberFormat="1" applyFont="1"/>
    <xf numFmtId="193" fontId="2" fillId="0" borderId="0" xfId="51" applyNumberFormat="1" applyFont="1" applyFill="1"/>
    <xf numFmtId="181" fontId="2" fillId="0" borderId="0" xfId="51" applyNumberFormat="1" applyFont="1" applyFill="1"/>
    <xf numFmtId="0" fontId="11" fillId="0" borderId="0" xfId="51" applyFont="1" applyFill="1"/>
    <xf numFmtId="0" fontId="2" fillId="0" borderId="0" xfId="51" applyFont="1" applyFill="1" applyAlignment="1">
      <alignment horizontal="left" indent="1"/>
    </xf>
    <xf numFmtId="192" fontId="12" fillId="0" borderId="0" xfId="51" applyNumberFormat="1" applyFont="1" applyFill="1"/>
    <xf numFmtId="180" fontId="12" fillId="0" borderId="0" xfId="51" applyNumberFormat="1" applyFont="1" applyFill="1"/>
    <xf numFmtId="199" fontId="12" fillId="0" borderId="0" xfId="51" applyNumberFormat="1" applyFont="1" applyFill="1"/>
    <xf numFmtId="0" fontId="17" fillId="2" borderId="0" xfId="51" applyFont="1" applyFill="1" applyAlignment="1"/>
    <xf numFmtId="0" fontId="9" fillId="0" borderId="3" xfId="49" applyFont="1" applyBorder="1"/>
    <xf numFmtId="189" fontId="18" fillId="4" borderId="0" xfId="51" applyNumberFormat="1" applyFont="1" applyFill="1"/>
    <xf numFmtId="222" fontId="31" fillId="4" borderId="13" xfId="51" applyNumberFormat="1" applyFont="1" applyFill="1" applyBorder="1" applyAlignment="1">
      <alignment horizontal="center"/>
    </xf>
    <xf numFmtId="222" fontId="2" fillId="4" borderId="13" xfId="51" applyNumberFormat="1" applyFont="1" applyFill="1" applyBorder="1" applyAlignment="1">
      <alignment horizontal="center"/>
    </xf>
    <xf numFmtId="222" fontId="11" fillId="4" borderId="13" xfId="51" applyNumberFormat="1" applyFont="1" applyFill="1" applyBorder="1" applyAlignment="1">
      <alignment horizontal="center"/>
    </xf>
    <xf numFmtId="181" fontId="8" fillId="4" borderId="14" xfId="51" applyNumberFormat="1" applyFont="1" applyFill="1" applyBorder="1" applyAlignment="1">
      <alignment horizontal="center"/>
    </xf>
    <xf numFmtId="180" fontId="2" fillId="4" borderId="14" xfId="51" applyNumberFormat="1" applyFont="1" applyFill="1" applyBorder="1" applyAlignment="1">
      <alignment horizontal="center"/>
    </xf>
    <xf numFmtId="180" fontId="11" fillId="4" borderId="14" xfId="51" applyNumberFormat="1" applyFont="1" applyFill="1" applyBorder="1" applyAlignment="1">
      <alignment horizontal="center"/>
    </xf>
    <xf numFmtId="180" fontId="2" fillId="4" borderId="15" xfId="51" applyNumberFormat="1" applyFont="1" applyFill="1" applyBorder="1" applyAlignment="1">
      <alignment horizontal="center"/>
    </xf>
    <xf numFmtId="180" fontId="2" fillId="4" borderId="16" xfId="51" applyNumberFormat="1" applyFont="1" applyFill="1" applyBorder="1" applyAlignment="1">
      <alignment horizontal="center"/>
    </xf>
    <xf numFmtId="9" fontId="2" fillId="0" borderId="0" xfId="51" applyNumberFormat="1" applyFont="1"/>
    <xf numFmtId="0" fontId="17" fillId="2" borderId="0" xfId="51" applyFont="1" applyFill="1" applyAlignment="1">
      <alignment horizontal="centerContinuous"/>
    </xf>
    <xf numFmtId="0" fontId="30" fillId="2" borderId="0" xfId="51" applyFont="1" applyFill="1" applyAlignment="1">
      <alignment horizontal="centerContinuous"/>
    </xf>
    <xf numFmtId="201" fontId="12" fillId="0" borderId="0" xfId="51" applyNumberFormat="1" applyFont="1"/>
    <xf numFmtId="201" fontId="2" fillId="0" borderId="0" xfId="51" applyNumberFormat="1" applyFont="1" applyFill="1"/>
    <xf numFmtId="201" fontId="12" fillId="0" borderId="0" xfId="51" applyNumberFormat="1" applyFont="1" applyFill="1"/>
    <xf numFmtId="0" fontId="29" fillId="2" borderId="0" xfId="51" applyFont="1" applyFill="1" applyAlignment="1"/>
    <xf numFmtId="201" fontId="2" fillId="0" borderId="0" xfId="51" applyNumberFormat="1" applyFont="1"/>
    <xf numFmtId="191" fontId="2" fillId="0" borderId="0" xfId="51" applyNumberFormat="1" applyFont="1"/>
    <xf numFmtId="191" fontId="10" fillId="0" borderId="0" xfId="49" applyNumberFormat="1" applyFont="1"/>
    <xf numFmtId="180" fontId="9" fillId="0" borderId="3" xfId="49" applyNumberFormat="1" applyFont="1" applyBorder="1"/>
    <xf numFmtId="180" fontId="11" fillId="0" borderId="3" xfId="51" applyNumberFormat="1" applyFont="1" applyFill="1" applyBorder="1"/>
    <xf numFmtId="193" fontId="9" fillId="0" borderId="0" xfId="49" applyNumberFormat="1" applyFont="1"/>
    <xf numFmtId="192" fontId="9" fillId="0" borderId="0" xfId="49" applyNumberFormat="1" applyFont="1"/>
    <xf numFmtId="222" fontId="11" fillId="4" borderId="17" xfId="51" applyNumberFormat="1" applyFont="1" applyFill="1" applyBorder="1" applyAlignment="1">
      <alignment horizontal="center"/>
    </xf>
    <xf numFmtId="184" fontId="12" fillId="0" borderId="0" xfId="51" applyNumberFormat="1" applyFont="1"/>
    <xf numFmtId="220" fontId="2" fillId="0" borderId="0" xfId="51" applyNumberFormat="1" applyFont="1" applyFill="1"/>
    <xf numFmtId="184" fontId="2" fillId="0" borderId="0" xfId="51" applyNumberFormat="1" applyFont="1" applyFill="1"/>
    <xf numFmtId="184" fontId="12" fillId="0" borderId="0" xfId="51" applyNumberFormat="1" applyFont="1" applyFill="1"/>
    <xf numFmtId="0" fontId="29" fillId="0" borderId="0" xfId="51" applyFont="1" applyFill="1" applyAlignment="1"/>
    <xf numFmtId="0" fontId="30" fillId="0" borderId="0" xfId="51" applyFont="1" applyFill="1" applyAlignment="1"/>
    <xf numFmtId="183" fontId="5" fillId="2" borderId="0" xfId="49" applyNumberFormat="1" applyFont="1" applyFill="1" applyAlignment="1">
      <alignment horizontal="center"/>
    </xf>
    <xf numFmtId="183" fontId="5" fillId="0" borderId="0" xfId="49" applyNumberFormat="1" applyFont="1" applyFill="1" applyAlignment="1">
      <alignment horizontal="center"/>
    </xf>
    <xf numFmtId="0" fontId="11" fillId="0" borderId="0" xfId="51" applyFont="1" applyAlignment="1">
      <alignment horizontal="center"/>
    </xf>
    <xf numFmtId="0" fontId="9" fillId="0" borderId="0" xfId="49" applyFont="1" applyAlignment="1">
      <alignment horizontal="center"/>
    </xf>
    <xf numFmtId="223" fontId="8" fillId="4" borderId="14" xfId="51" applyNumberFormat="1" applyFont="1" applyFill="1" applyBorder="1" applyAlignment="1">
      <alignment horizontal="center"/>
    </xf>
    <xf numFmtId="223" fontId="2" fillId="4" borderId="14" xfId="51" applyNumberFormat="1" applyFont="1" applyFill="1" applyBorder="1" applyAlignment="1">
      <alignment horizontal="center"/>
    </xf>
    <xf numFmtId="223" fontId="11" fillId="4" borderId="14" xfId="51" applyNumberFormat="1" applyFont="1" applyFill="1" applyBorder="1" applyAlignment="1">
      <alignment horizontal="center"/>
    </xf>
    <xf numFmtId="223" fontId="2" fillId="4" borderId="16" xfId="51" applyNumberFormat="1" applyFont="1" applyFill="1" applyBorder="1" applyAlignment="1">
      <alignment horizontal="center"/>
    </xf>
    <xf numFmtId="181" fontId="2" fillId="4" borderId="14" xfId="51" applyNumberFormat="1" applyFont="1" applyFill="1" applyBorder="1" applyAlignment="1">
      <alignment horizontal="center"/>
    </xf>
    <xf numFmtId="222" fontId="2" fillId="4" borderId="17" xfId="51" applyNumberFormat="1" applyFont="1" applyFill="1" applyBorder="1" applyAlignment="1">
      <alignment horizontal="center"/>
    </xf>
    <xf numFmtId="223" fontId="8" fillId="3" borderId="2" xfId="0" applyNumberFormat="1" applyFont="1" applyFill="1" applyBorder="1" applyAlignment="1">
      <alignment horizontal="center"/>
    </xf>
    <xf numFmtId="0" fontId="10" fillId="4" borderId="0" xfId="0" applyFont="1" applyFill="1" applyAlignment="1"/>
    <xf numFmtId="224" fontId="21" fillId="0" borderId="0" xfId="0" applyNumberFormat="1" applyFont="1" applyFill="1" applyAlignment="1"/>
    <xf numFmtId="0" fontId="9" fillId="4" borderId="1" xfId="0" applyFont="1" applyFill="1" applyBorder="1" applyAlignment="1"/>
    <xf numFmtId="0" fontId="10" fillId="4" borderId="1" xfId="0" applyFont="1" applyFill="1" applyBorder="1" applyAlignment="1"/>
    <xf numFmtId="0" fontId="10" fillId="0" borderId="0" xfId="0" applyFont="1" applyFill="1" applyAlignment="1">
      <alignment horizontal="left" indent="1"/>
    </xf>
    <xf numFmtId="203" fontId="22" fillId="3" borderId="2" xfId="5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 indent="1"/>
    </xf>
    <xf numFmtId="0" fontId="10" fillId="0" borderId="1" xfId="0" applyFont="1" applyFill="1" applyBorder="1" applyAlignment="1"/>
    <xf numFmtId="0" fontId="9" fillId="4" borderId="1" xfId="0" applyFont="1" applyFill="1" applyBorder="1" applyAlignment="1">
      <alignment horizontal="center"/>
    </xf>
    <xf numFmtId="0" fontId="9" fillId="0" borderId="0" xfId="0" applyFont="1" applyFill="1" applyAlignment="1"/>
    <xf numFmtId="181" fontId="22" fillId="3" borderId="2" xfId="0" applyNumberFormat="1" applyFont="1" applyFill="1" applyBorder="1" applyAlignment="1"/>
    <xf numFmtId="0" fontId="4" fillId="0" borderId="0" xfId="0" applyFont="1" applyFill="1" applyAlignment="1">
      <alignment horizontal="left" indent="2"/>
    </xf>
    <xf numFmtId="181" fontId="10" fillId="0" borderId="0" xfId="0" applyNumberFormat="1" applyFont="1" applyFill="1" applyAlignment="1"/>
    <xf numFmtId="180" fontId="10" fillId="0" borderId="0" xfId="0" applyNumberFormat="1" applyFont="1" applyFill="1" applyAlignment="1"/>
    <xf numFmtId="199" fontId="10" fillId="0" borderId="0" xfId="0" applyNumberFormat="1" applyFont="1" applyFill="1" applyAlignment="1"/>
    <xf numFmtId="0" fontId="9" fillId="4" borderId="0" xfId="0" applyFont="1" applyFill="1" applyAlignment="1">
      <alignment horizontal="centerContinuous"/>
    </xf>
    <xf numFmtId="0" fontId="9" fillId="4" borderId="0" xfId="0" applyFont="1" applyFill="1" applyAlignment="1"/>
    <xf numFmtId="0" fontId="9" fillId="4" borderId="1" xfId="0" applyFont="1" applyFill="1" applyBorder="1" applyAlignment="1">
      <alignment horizontal="centerContinuous"/>
    </xf>
    <xf numFmtId="220" fontId="10" fillId="0" borderId="0" xfId="0" applyNumberFormat="1" applyFont="1" applyFill="1" applyAlignment="1"/>
    <xf numFmtId="176" fontId="10" fillId="0" borderId="0" xfId="0" applyNumberFormat="1" applyFont="1" applyFill="1" applyAlignment="1">
      <alignment horizontal="center"/>
    </xf>
    <xf numFmtId="176" fontId="21" fillId="3" borderId="2" xfId="50" applyNumberFormat="1" applyFont="1" applyFill="1" applyBorder="1" applyAlignment="1">
      <alignment horizontal="center"/>
    </xf>
    <xf numFmtId="176" fontId="2" fillId="0" borderId="0" xfId="0" applyNumberFormat="1" applyFont="1" applyFill="1" applyAlignment="1">
      <alignment horizontal="center"/>
    </xf>
    <xf numFmtId="176" fontId="22" fillId="3" borderId="2" xfId="50" applyNumberFormat="1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181" fontId="9" fillId="0" borderId="3" xfId="0" applyNumberFormat="1" applyFont="1" applyFill="1" applyBorder="1" applyAlignment="1"/>
    <xf numFmtId="181" fontId="11" fillId="0" borderId="0" xfId="51" applyNumberFormat="1" applyFont="1" applyFill="1"/>
    <xf numFmtId="0" fontId="9" fillId="4" borderId="0" xfId="0" applyFont="1" applyFill="1" applyAlignment="1">
      <alignment horizontal="center"/>
    </xf>
    <xf numFmtId="225" fontId="11" fillId="4" borderId="1" xfId="0" applyNumberFormat="1" applyFont="1" applyFill="1" applyBorder="1" applyAlignment="1">
      <alignment horizontal="centerContinuous"/>
    </xf>
    <xf numFmtId="203" fontId="21" fillId="3" borderId="2" xfId="50" applyNumberFormat="1" applyFont="1" applyFill="1" applyBorder="1" applyAlignment="1">
      <alignment horizontal="center"/>
    </xf>
    <xf numFmtId="176" fontId="8" fillId="3" borderId="2" xfId="0" applyNumberFormat="1" applyFont="1" applyFill="1" applyBorder="1" applyAlignment="1">
      <alignment horizontal="center"/>
    </xf>
    <xf numFmtId="176" fontId="32" fillId="0" borderId="0" xfId="0" applyNumberFormat="1" applyFont="1" applyFill="1" applyAlignment="1">
      <alignment horizontal="right"/>
    </xf>
    <xf numFmtId="197" fontId="10" fillId="0" borderId="0" xfId="0" applyNumberFormat="1" applyFont="1" applyFill="1" applyAlignment="1"/>
    <xf numFmtId="0" fontId="10" fillId="0" borderId="33" xfId="0" applyFont="1" applyFill="1" applyBorder="1" applyAlignment="1"/>
    <xf numFmtId="180" fontId="22" fillId="3" borderId="18" xfId="50" applyNumberFormat="1" applyFont="1" applyFill="1" applyBorder="1" applyAlignment="1"/>
    <xf numFmtId="0" fontId="10" fillId="0" borderId="3" xfId="0" applyFont="1" applyFill="1" applyBorder="1" applyAlignment="1"/>
    <xf numFmtId="217" fontId="12" fillId="0" borderId="0" xfId="0" applyNumberFormat="1" applyFont="1" applyFill="1" applyAlignment="1">
      <alignment horizontal="right"/>
    </xf>
    <xf numFmtId="217" fontId="2" fillId="0" borderId="0" xfId="0" applyNumberFormat="1" applyFont="1" applyFill="1" applyAlignment="1">
      <alignment horizontal="right"/>
    </xf>
    <xf numFmtId="217" fontId="10" fillId="0" borderId="0" xfId="0" applyNumberFormat="1" applyFont="1" applyFill="1" applyAlignment="1">
      <alignment horizontal="right"/>
    </xf>
    <xf numFmtId="0" fontId="10" fillId="4" borderId="1" xfId="0" applyFont="1" applyFill="1" applyBorder="1" applyAlignment="1">
      <alignment horizontal="centerContinuous"/>
    </xf>
    <xf numFmtId="176" fontId="12" fillId="0" borderId="0" xfId="0" applyNumberFormat="1" applyFont="1" applyFill="1" applyAlignment="1">
      <alignment horizontal="center"/>
    </xf>
    <xf numFmtId="186" fontId="22" fillId="3" borderId="34" xfId="50" applyNumberFormat="1" applyFont="1" applyFill="1" applyBorder="1" applyAlignment="1">
      <alignment horizontal="center"/>
    </xf>
    <xf numFmtId="226" fontId="22" fillId="3" borderId="2" xfId="50" applyNumberFormat="1" applyFont="1" applyFill="1" applyBorder="1" applyAlignment="1">
      <alignment horizontal="center"/>
    </xf>
    <xf numFmtId="186" fontId="22" fillId="3" borderId="2" xfId="50" applyNumberFormat="1" applyFont="1" applyFill="1" applyBorder="1" applyAlignment="1">
      <alignment horizontal="center"/>
    </xf>
    <xf numFmtId="189" fontId="12" fillId="0" borderId="0" xfId="0" applyNumberFormat="1" applyFont="1" applyFill="1" applyAlignment="1">
      <alignment horizontal="center"/>
    </xf>
    <xf numFmtId="0" fontId="20" fillId="0" borderId="0" xfId="0" applyFont="1" applyFill="1" applyAlignment="1"/>
    <xf numFmtId="0" fontId="33" fillId="0" borderId="0" xfId="0" applyFont="1" applyFill="1" applyAlignment="1"/>
    <xf numFmtId="181" fontId="11" fillId="0" borderId="3" xfId="51" applyNumberFormat="1" applyFont="1" applyFill="1" applyBorder="1"/>
    <xf numFmtId="180" fontId="20" fillId="0" borderId="0" xfId="0" applyNumberFormat="1" applyFont="1" applyFill="1" applyAlignment="1"/>
    <xf numFmtId="0" fontId="4" fillId="9" borderId="3" xfId="0" applyNumberFormat="1" applyFont="1" applyFill="1" applyBorder="1" applyAlignment="1">
      <alignment horizontal="left" indent="1"/>
    </xf>
    <xf numFmtId="0" fontId="14" fillId="9" borderId="3" xfId="0" applyNumberFormat="1" applyFont="1" applyFill="1" applyBorder="1" applyAlignment="1">
      <alignment horizontal="center"/>
    </xf>
    <xf numFmtId="208" fontId="4" fillId="9" borderId="3" xfId="0" applyNumberFormat="1" applyFont="1" applyFill="1" applyBorder="1" applyAlignment="1"/>
    <xf numFmtId="180" fontId="22" fillId="9" borderId="3" xfId="0" applyNumberFormat="1" applyFont="1" applyFill="1" applyBorder="1" applyAlignment="1"/>
    <xf numFmtId="0" fontId="4" fillId="9" borderId="1" xfId="0" applyNumberFormat="1" applyFont="1" applyFill="1" applyBorder="1" applyAlignment="1">
      <alignment horizontal="left" indent="1"/>
    </xf>
    <xf numFmtId="0" fontId="14" fillId="9" borderId="1" xfId="0" applyNumberFormat="1" applyFont="1" applyFill="1" applyBorder="1" applyAlignment="1">
      <alignment horizontal="center"/>
    </xf>
    <xf numFmtId="208" fontId="4" fillId="9" borderId="1" xfId="0" applyNumberFormat="1" applyFont="1" applyFill="1" applyBorder="1" applyAlignment="1"/>
    <xf numFmtId="180" fontId="22" fillId="9" borderId="1" xfId="0" applyNumberFormat="1" applyFont="1" applyFill="1" applyBorder="1" applyAlignment="1"/>
    <xf numFmtId="180" fontId="20" fillId="0" borderId="1" xfId="0" applyNumberFormat="1" applyFont="1" applyFill="1" applyBorder="1" applyAlignment="1"/>
    <xf numFmtId="0" fontId="4" fillId="9" borderId="3" xfId="0" applyNumberFormat="1" applyFont="1" applyFill="1" applyBorder="1" applyAlignment="1"/>
    <xf numFmtId="0" fontId="2" fillId="9" borderId="0" xfId="0" applyFont="1" applyFill="1" applyAlignment="1">
      <alignment horizontal="left" indent="1"/>
    </xf>
    <xf numFmtId="0" fontId="14" fillId="9" borderId="0" xfId="0" applyNumberFormat="1" applyFont="1" applyFill="1" applyAlignment="1">
      <alignment horizontal="center"/>
    </xf>
    <xf numFmtId="0" fontId="4" fillId="9" borderId="0" xfId="0" applyNumberFormat="1" applyFont="1" applyFill="1" applyAlignment="1"/>
    <xf numFmtId="180" fontId="22" fillId="9" borderId="0" xfId="0" applyNumberFormat="1" applyFont="1" applyFill="1" applyAlignment="1"/>
    <xf numFmtId="0" fontId="4" fillId="9" borderId="0" xfId="0" applyNumberFormat="1" applyFont="1" applyFill="1" applyAlignment="1">
      <alignment horizontal="left" indent="1"/>
    </xf>
    <xf numFmtId="0" fontId="4" fillId="9" borderId="1" xfId="0" applyNumberFormat="1" applyFont="1" applyFill="1" applyBorder="1" applyAlignment="1"/>
    <xf numFmtId="0" fontId="4" fillId="9" borderId="3" xfId="0" applyFont="1" applyFill="1" applyBorder="1" applyAlignment="1">
      <alignment horizontal="left" indent="1"/>
    </xf>
    <xf numFmtId="0" fontId="4" fillId="9" borderId="3" xfId="0" applyFont="1" applyFill="1" applyBorder="1" applyAlignment="1"/>
    <xf numFmtId="180" fontId="20" fillId="9" borderId="3" xfId="0" applyNumberFormat="1" applyFont="1" applyFill="1" applyBorder="1" applyAlignment="1"/>
    <xf numFmtId="0" fontId="4" fillId="9" borderId="1" xfId="0" applyFont="1" applyFill="1" applyBorder="1" applyAlignment="1">
      <alignment horizontal="left" indent="1"/>
    </xf>
    <xf numFmtId="0" fontId="4" fillId="9" borderId="1" xfId="0" applyFont="1" applyFill="1" applyBorder="1" applyAlignment="1"/>
    <xf numFmtId="180" fontId="20" fillId="9" borderId="1" xfId="0" applyNumberFormat="1" applyFont="1" applyFill="1" applyBorder="1" applyAlignment="1"/>
    <xf numFmtId="0" fontId="4" fillId="9" borderId="13" xfId="0" applyFont="1" applyFill="1" applyBorder="1" applyAlignment="1">
      <alignment horizontal="left" indent="1"/>
    </xf>
    <xf numFmtId="0" fontId="14" fillId="9" borderId="13" xfId="0" applyNumberFormat="1" applyFont="1" applyFill="1" applyBorder="1" applyAlignment="1">
      <alignment horizontal="center"/>
    </xf>
    <xf numFmtId="0" fontId="4" fillId="9" borderId="13" xfId="0" applyFont="1" applyFill="1" applyBorder="1" applyAlignment="1"/>
    <xf numFmtId="178" fontId="20" fillId="9" borderId="13" xfId="0" applyNumberFormat="1" applyFont="1" applyFill="1" applyBorder="1" applyAlignment="1"/>
    <xf numFmtId="211" fontId="20" fillId="0" borderId="0" xfId="0" applyNumberFormat="1" applyFont="1" applyFill="1" applyAlignment="1"/>
    <xf numFmtId="186" fontId="20" fillId="0" borderId="0" xfId="50" applyNumberFormat="1" applyFont="1" applyFill="1" applyBorder="1" applyAlignment="1">
      <alignment horizontal="center"/>
    </xf>
    <xf numFmtId="207" fontId="5" fillId="2" borderId="24" xfId="0" applyNumberFormat="1" applyFont="1" applyFill="1" applyBorder="1" applyAlignment="1">
      <alignment horizontal="center"/>
    </xf>
    <xf numFmtId="207" fontId="5" fillId="2" borderId="8" xfId="0" applyNumberFormat="1" applyFont="1" applyFill="1" applyBorder="1" applyAlignment="1">
      <alignment horizontal="center"/>
    </xf>
    <xf numFmtId="208" fontId="4" fillId="0" borderId="4" xfId="0" applyNumberFormat="1" applyFont="1" applyFill="1" applyBorder="1" applyAlignment="1"/>
    <xf numFmtId="208" fontId="4" fillId="0" borderId="3" xfId="0" applyNumberFormat="1" applyFont="1" applyFill="1" applyBorder="1" applyAlignment="1"/>
    <xf numFmtId="208" fontId="4" fillId="0" borderId="11" xfId="0" applyNumberFormat="1" applyFont="1" applyFill="1" applyBorder="1" applyAlignment="1"/>
    <xf numFmtId="208" fontId="4" fillId="0" borderId="32" xfId="0" applyNumberFormat="1" applyFont="1" applyFill="1" applyBorder="1" applyAlignment="1"/>
    <xf numFmtId="208" fontId="4" fillId="0" borderId="15" xfId="0" applyNumberFormat="1" applyFont="1" applyFill="1" applyBorder="1" applyAlignment="1"/>
    <xf numFmtId="181" fontId="21" fillId="0" borderId="32" xfId="0" applyNumberFormat="1" applyFont="1" applyFill="1" applyBorder="1" applyAlignment="1"/>
    <xf numFmtId="181" fontId="21" fillId="0" borderId="15" xfId="0" applyNumberFormat="1" applyFont="1" applyFill="1" applyBorder="1" applyAlignment="1"/>
    <xf numFmtId="180" fontId="21" fillId="0" borderId="32" xfId="0" applyNumberFormat="1" applyFont="1" applyFill="1" applyBorder="1" applyAlignment="1"/>
    <xf numFmtId="180" fontId="21" fillId="0" borderId="15" xfId="0" applyNumberFormat="1" applyFont="1" applyFill="1" applyBorder="1" applyAlignment="1"/>
    <xf numFmtId="180" fontId="21" fillId="9" borderId="4" xfId="0" applyNumberFormat="1" applyFont="1" applyFill="1" applyBorder="1" applyAlignment="1"/>
    <xf numFmtId="180" fontId="21" fillId="9" borderId="3" xfId="0" applyNumberFormat="1" applyFont="1" applyFill="1" applyBorder="1" applyAlignment="1"/>
    <xf numFmtId="180" fontId="21" fillId="9" borderId="11" xfId="0" applyNumberFormat="1" applyFont="1" applyFill="1" applyBorder="1" applyAlignment="1"/>
    <xf numFmtId="180" fontId="21" fillId="9" borderId="5" xfId="0" applyNumberFormat="1" applyFont="1" applyFill="1" applyBorder="1" applyAlignment="1"/>
    <xf numFmtId="180" fontId="21" fillId="9" borderId="1" xfId="0" applyNumberFormat="1" applyFont="1" applyFill="1" applyBorder="1" applyAlignment="1"/>
    <xf numFmtId="180" fontId="21" fillId="9" borderId="12" xfId="0" applyNumberFormat="1" applyFont="1" applyFill="1" applyBorder="1" applyAlignment="1"/>
    <xf numFmtId="180" fontId="21" fillId="0" borderId="5" xfId="0" applyNumberFormat="1" applyFont="1" applyFill="1" applyBorder="1" applyAlignment="1"/>
    <xf numFmtId="180" fontId="21" fillId="0" borderId="12" xfId="0" applyNumberFormat="1" applyFont="1" applyFill="1" applyBorder="1" applyAlignment="1"/>
    <xf numFmtId="180" fontId="16" fillId="0" borderId="32" xfId="0" applyNumberFormat="1" applyFont="1" applyFill="1" applyBorder="1" applyAlignment="1"/>
    <xf numFmtId="180" fontId="16" fillId="0" borderId="15" xfId="0" applyNumberFormat="1" applyFont="1" applyFill="1" applyBorder="1" applyAlignment="1"/>
    <xf numFmtId="180" fontId="21" fillId="9" borderId="32" xfId="0" applyNumberFormat="1" applyFont="1" applyFill="1" applyBorder="1" applyAlignment="1"/>
    <xf numFmtId="180" fontId="21" fillId="9" borderId="0" xfId="0" applyNumberFormat="1" applyFont="1" applyFill="1" applyAlignment="1"/>
    <xf numFmtId="180" fontId="21" fillId="9" borderId="15" xfId="0" applyNumberFormat="1" applyFont="1" applyFill="1" applyBorder="1" applyAlignment="1"/>
    <xf numFmtId="180" fontId="16" fillId="0" borderId="4" xfId="0" applyNumberFormat="1" applyFont="1" applyFill="1" applyBorder="1" applyAlignment="1"/>
    <xf numFmtId="180" fontId="16" fillId="0" borderId="11" xfId="0" applyNumberFormat="1" applyFont="1" applyFill="1" applyBorder="1" applyAlignment="1"/>
    <xf numFmtId="0" fontId="4" fillId="0" borderId="32" xfId="0" applyFont="1" applyFill="1" applyBorder="1" applyAlignment="1"/>
    <xf numFmtId="0" fontId="4" fillId="0" borderId="15" xfId="0" applyFont="1" applyFill="1" applyBorder="1" applyAlignment="1"/>
    <xf numFmtId="180" fontId="4" fillId="0" borderId="32" xfId="0" applyNumberFormat="1" applyFont="1" applyFill="1" applyBorder="1" applyAlignment="1"/>
    <xf numFmtId="180" fontId="4" fillId="0" borderId="15" xfId="0" applyNumberFormat="1" applyFont="1" applyFill="1" applyBorder="1" applyAlignment="1"/>
    <xf numFmtId="178" fontId="21" fillId="0" borderId="5" xfId="0" applyNumberFormat="1" applyFont="1" applyFill="1" applyBorder="1" applyAlignment="1"/>
    <xf numFmtId="178" fontId="21" fillId="0" borderId="12" xfId="0" applyNumberFormat="1" applyFont="1" applyFill="1" applyBorder="1" applyAlignment="1"/>
    <xf numFmtId="180" fontId="4" fillId="9" borderId="35" xfId="0" applyNumberFormat="1" applyFont="1" applyFill="1" applyBorder="1" applyAlignment="1"/>
    <xf numFmtId="180" fontId="4" fillId="9" borderId="13" xfId="0" applyNumberFormat="1" applyFont="1" applyFill="1" applyBorder="1" applyAlignment="1"/>
    <xf numFmtId="180" fontId="4" fillId="9" borderId="17" xfId="0" applyNumberFormat="1" applyFont="1" applyFill="1" applyBorder="1" applyAlignment="1"/>
    <xf numFmtId="181" fontId="16" fillId="0" borderId="32" xfId="0" applyNumberFormat="1" applyFont="1" applyFill="1" applyBorder="1" applyAlignment="1"/>
    <xf numFmtId="181" fontId="16" fillId="0" borderId="15" xfId="0" applyNumberFormat="1" applyFont="1" applyFill="1" applyBorder="1" applyAlignment="1"/>
    <xf numFmtId="211" fontId="21" fillId="0" borderId="32" xfId="0" applyNumberFormat="1" applyFont="1" applyFill="1" applyBorder="1" applyAlignment="1"/>
    <xf numFmtId="211" fontId="21" fillId="0" borderId="15" xfId="0" applyNumberFormat="1" applyFont="1" applyFill="1" applyBorder="1" applyAlignment="1"/>
    <xf numFmtId="4" fontId="31" fillId="0" borderId="0" xfId="0" applyNumberFormat="1" applyFont="1" applyFill="1" applyAlignment="1">
      <alignment horizontal="center"/>
    </xf>
    <xf numFmtId="4" fontId="11" fillId="0" borderId="0" xfId="0" applyNumberFormat="1" applyFont="1" applyFill="1" applyAlignment="1">
      <alignment horizontal="center"/>
    </xf>
    <xf numFmtId="189" fontId="11" fillId="0" borderId="0" xfId="0" applyNumberFormat="1" applyFont="1" applyFill="1" applyAlignment="1">
      <alignment horizontal="center"/>
    </xf>
    <xf numFmtId="178" fontId="21" fillId="9" borderId="3" xfId="0" applyNumberFormat="1" applyFont="1" applyFill="1" applyBorder="1" applyAlignment="1"/>
    <xf numFmtId="0" fontId="19" fillId="0" borderId="0" xfId="0" applyFont="1" applyFill="1" applyAlignment="1"/>
    <xf numFmtId="0" fontId="7" fillId="9" borderId="13" xfId="51" applyFont="1" applyFill="1" applyBorder="1" applyAlignment="1">
      <alignment horizontal="center"/>
    </xf>
    <xf numFmtId="211" fontId="20" fillId="9" borderId="13" xfId="0" applyNumberFormat="1" applyFont="1" applyFill="1" applyBorder="1" applyAlignment="1"/>
    <xf numFmtId="193" fontId="20" fillId="0" borderId="0" xfId="0" applyNumberFormat="1" applyFont="1" applyFill="1" applyAlignment="1"/>
    <xf numFmtId="180" fontId="22" fillId="9" borderId="13" xfId="0" applyNumberFormat="1" applyFont="1" applyFill="1" applyBorder="1" applyAlignment="1"/>
    <xf numFmtId="181" fontId="26" fillId="0" borderId="0" xfId="0" applyNumberFormat="1" applyFont="1" applyFill="1" applyAlignment="1"/>
    <xf numFmtId="211" fontId="21" fillId="9" borderId="35" xfId="0" applyNumberFormat="1" applyFont="1" applyFill="1" applyBorder="1" applyAlignment="1"/>
    <xf numFmtId="211" fontId="21" fillId="9" borderId="13" xfId="0" applyNumberFormat="1" applyFont="1" applyFill="1" applyBorder="1" applyAlignment="1"/>
    <xf numFmtId="211" fontId="21" fillId="9" borderId="17" xfId="0" applyNumberFormat="1" applyFont="1" applyFill="1" applyBorder="1" applyAlignment="1"/>
    <xf numFmtId="193" fontId="4" fillId="0" borderId="32" xfId="0" applyNumberFormat="1" applyFont="1" applyFill="1" applyBorder="1" applyAlignment="1"/>
    <xf numFmtId="193" fontId="4" fillId="0" borderId="15" xfId="0" applyNumberFormat="1" applyFont="1" applyFill="1" applyBorder="1" applyAlignment="1"/>
    <xf numFmtId="192" fontId="4" fillId="0" borderId="32" xfId="0" applyNumberFormat="1" applyFont="1" applyFill="1" applyBorder="1" applyAlignment="1"/>
    <xf numFmtId="192" fontId="4" fillId="0" borderId="15" xfId="0" applyNumberFormat="1" applyFont="1" applyFill="1" applyBorder="1" applyAlignment="1"/>
    <xf numFmtId="0" fontId="4" fillId="0" borderId="4" xfId="0" applyFont="1" applyFill="1" applyBorder="1" applyAlignment="1">
      <alignment horizontal="centerContinuous"/>
    </xf>
    <xf numFmtId="180" fontId="4" fillId="0" borderId="3" xfId="0" applyNumberFormat="1" applyFont="1" applyFill="1" applyBorder="1" applyAlignment="1">
      <alignment horizontal="centerContinuous"/>
    </xf>
    <xf numFmtId="0" fontId="4" fillId="0" borderId="3" xfId="0" applyFont="1" applyFill="1" applyBorder="1" applyAlignment="1">
      <alignment horizontal="centerContinuous"/>
    </xf>
    <xf numFmtId="0" fontId="4" fillId="0" borderId="11" xfId="0" applyFont="1" applyFill="1" applyBorder="1" applyAlignment="1">
      <alignment horizontal="centerContinuous"/>
    </xf>
    <xf numFmtId="181" fontId="20" fillId="0" borderId="32" xfId="0" applyNumberFormat="1" applyFont="1" applyFill="1" applyBorder="1" applyAlignment="1"/>
    <xf numFmtId="180" fontId="20" fillId="0" borderId="32" xfId="0" applyNumberFormat="1" applyFont="1" applyFill="1" applyBorder="1" applyAlignment="1"/>
    <xf numFmtId="180" fontId="23" fillId="0" borderId="4" xfId="0" applyNumberFormat="1" applyFont="1" applyFill="1" applyBorder="1" applyAlignment="1"/>
    <xf numFmtId="180" fontId="23" fillId="0" borderId="11" xfId="0" applyNumberFormat="1" applyFont="1" applyFill="1" applyBorder="1" applyAlignment="1"/>
    <xf numFmtId="178" fontId="20" fillId="0" borderId="32" xfId="0" applyNumberFormat="1" applyFont="1" applyFill="1" applyBorder="1" applyAlignment="1"/>
    <xf numFmtId="178" fontId="21" fillId="0" borderId="15" xfId="0" applyNumberFormat="1" applyFont="1" applyFill="1" applyBorder="1" applyAlignment="1"/>
    <xf numFmtId="178" fontId="16" fillId="0" borderId="4" xfId="0" applyNumberFormat="1" applyFont="1" applyFill="1" applyBorder="1" applyAlignment="1"/>
    <xf numFmtId="178" fontId="16" fillId="0" borderId="11" xfId="0" applyNumberFormat="1" applyFont="1" applyFill="1" applyBorder="1" applyAlignment="1"/>
    <xf numFmtId="199" fontId="20" fillId="0" borderId="32" xfId="0" applyNumberFormat="1" applyFont="1" applyFill="1" applyBorder="1" applyAlignment="1"/>
    <xf numFmtId="180" fontId="22" fillId="0" borderId="32" xfId="0" applyNumberFormat="1" applyFont="1" applyFill="1" applyBorder="1" applyAlignment="1"/>
    <xf numFmtId="178" fontId="22" fillId="9" borderId="35" xfId="0" applyNumberFormat="1" applyFont="1" applyFill="1" applyBorder="1" applyAlignment="1"/>
    <xf numFmtId="180" fontId="21" fillId="9" borderId="13" xfId="0" applyNumberFormat="1" applyFont="1" applyFill="1" applyBorder="1" applyAlignment="1"/>
    <xf numFmtId="180" fontId="21" fillId="9" borderId="17" xfId="0" applyNumberFormat="1" applyFont="1" applyFill="1" applyBorder="1" applyAlignment="1"/>
    <xf numFmtId="177" fontId="16" fillId="0" borderId="32" xfId="0" applyNumberFormat="1" applyFont="1" applyFill="1" applyBorder="1" applyAlignment="1"/>
    <xf numFmtId="177" fontId="16" fillId="0" borderId="15" xfId="0" applyNumberFormat="1" applyFont="1" applyFill="1" applyBorder="1" applyAlignment="1"/>
    <xf numFmtId="0" fontId="4" fillId="4" borderId="35" xfId="0" applyFont="1" applyFill="1" applyBorder="1" applyAlignment="1">
      <alignment horizontal="centerContinuous"/>
    </xf>
    <xf numFmtId="0" fontId="4" fillId="4" borderId="17" xfId="0" applyFont="1" applyFill="1" applyBorder="1" applyAlignment="1">
      <alignment horizontal="centerContinuous"/>
    </xf>
    <xf numFmtId="199" fontId="20" fillId="0" borderId="0" xfId="0" applyNumberFormat="1" applyFont="1" applyFill="1" applyAlignment="1"/>
    <xf numFmtId="199" fontId="21" fillId="0" borderId="15" xfId="0" applyNumberFormat="1" applyFont="1" applyFill="1" applyBorder="1" applyAlignment="1"/>
    <xf numFmtId="181" fontId="16" fillId="0" borderId="4" xfId="0" applyNumberFormat="1" applyFont="1" applyFill="1" applyBorder="1" applyAlignment="1"/>
    <xf numFmtId="181" fontId="16" fillId="0" borderId="11" xfId="0" applyNumberFormat="1" applyFont="1" applyFill="1" applyBorder="1" applyAlignment="1"/>
    <xf numFmtId="0" fontId="21" fillId="0" borderId="32" xfId="0" applyFont="1" applyFill="1" applyBorder="1" applyAlignment="1"/>
    <xf numFmtId="0" fontId="21" fillId="0" borderId="15" xfId="0" applyFont="1" applyFill="1" applyBorder="1" applyAlignment="1"/>
    <xf numFmtId="181" fontId="26" fillId="0" borderId="32" xfId="0" applyNumberFormat="1" applyFont="1" applyFill="1" applyBorder="1" applyAlignment="1"/>
    <xf numFmtId="181" fontId="23" fillId="0" borderId="15" xfId="0" applyNumberFormat="1" applyFont="1" applyFill="1" applyBorder="1" applyAlignment="1"/>
    <xf numFmtId="178" fontId="22" fillId="0" borderId="32" xfId="0" applyNumberFormat="1" applyFont="1" applyFill="1" applyBorder="1" applyAlignment="1"/>
    <xf numFmtId="181" fontId="23" fillId="0" borderId="4" xfId="0" applyNumberFormat="1" applyFont="1" applyFill="1" applyBorder="1" applyAlignment="1"/>
    <xf numFmtId="181" fontId="23" fillId="0" borderId="11" xfId="0" applyNumberFormat="1" applyFont="1" applyFill="1" applyBorder="1" applyAlignment="1"/>
    <xf numFmtId="214" fontId="9" fillId="0" borderId="32" xfId="0" applyNumberFormat="1" applyFont="1" applyFill="1" applyBorder="1" applyAlignment="1">
      <alignment horizontal="center"/>
    </xf>
    <xf numFmtId="178" fontId="21" fillId="9" borderId="13" xfId="0" applyNumberFormat="1" applyFont="1" applyFill="1" applyBorder="1" applyAlignment="1"/>
    <xf numFmtId="0" fontId="19" fillId="0" borderId="0" xfId="0" applyFont="1" applyFill="1" applyAlignment="1"/>
    <xf numFmtId="180" fontId="20" fillId="9" borderId="13" xfId="0" applyNumberFormat="1" applyFont="1" applyFill="1" applyBorder="1" applyAlignment="1"/>
    <xf numFmtId="180" fontId="4" fillId="9" borderId="3" xfId="0" applyNumberFormat="1" applyFont="1" applyFill="1" applyBorder="1" applyAlignment="1"/>
    <xf numFmtId="0" fontId="4" fillId="9" borderId="0" xfId="0" applyFont="1" applyFill="1" applyAlignment="1">
      <alignment horizontal="left" indent="1"/>
    </xf>
    <xf numFmtId="0" fontId="4" fillId="9" borderId="0" xfId="0" applyFont="1" applyFill="1" applyAlignment="1"/>
    <xf numFmtId="180" fontId="4" fillId="9" borderId="0" xfId="0" applyNumberFormat="1" applyFont="1" applyFill="1" applyAlignment="1"/>
    <xf numFmtId="180" fontId="4" fillId="9" borderId="1" xfId="0" applyNumberFormat="1" applyFont="1" applyFill="1" applyBorder="1" applyAlignment="1"/>
    <xf numFmtId="227" fontId="2" fillId="0" borderId="0" xfId="0" applyNumberFormat="1" applyFont="1" applyFill="1" applyAlignment="1"/>
    <xf numFmtId="0" fontId="4" fillId="0" borderId="4" xfId="0" applyFont="1" applyFill="1" applyBorder="1" applyAlignment="1"/>
    <xf numFmtId="0" fontId="4" fillId="0" borderId="11" xfId="0" applyFont="1" applyFill="1" applyBorder="1" applyAlignment="1"/>
    <xf numFmtId="181" fontId="4" fillId="0" borderId="32" xfId="0" applyNumberFormat="1" applyFont="1" applyFill="1" applyBorder="1" applyAlignment="1"/>
    <xf numFmtId="181" fontId="4" fillId="0" borderId="15" xfId="0" applyNumberFormat="1" applyFont="1" applyFill="1" applyBorder="1" applyAlignment="1"/>
    <xf numFmtId="199" fontId="4" fillId="0" borderId="32" xfId="0" applyNumberFormat="1" applyFont="1" applyFill="1" applyBorder="1" applyAlignment="1"/>
    <xf numFmtId="199" fontId="4" fillId="0" borderId="15" xfId="0" applyNumberFormat="1" applyFont="1" applyFill="1" applyBorder="1" applyAlignment="1"/>
    <xf numFmtId="199" fontId="20" fillId="9" borderId="13" xfId="0" applyNumberFormat="1" applyFont="1" applyFill="1" applyBorder="1" applyAlignment="1"/>
    <xf numFmtId="199" fontId="4" fillId="9" borderId="35" xfId="0" applyNumberFormat="1" applyFont="1" applyFill="1" applyBorder="1" applyAlignment="1"/>
    <xf numFmtId="199" fontId="4" fillId="9" borderId="13" xfId="0" applyNumberFormat="1" applyFont="1" applyFill="1" applyBorder="1" applyAlignment="1"/>
    <xf numFmtId="199" fontId="4" fillId="9" borderId="17" xfId="0" applyNumberFormat="1" applyFont="1" applyFill="1" applyBorder="1" applyAlignment="1"/>
    <xf numFmtId="178" fontId="21" fillId="0" borderId="32" xfId="0" applyNumberFormat="1" applyFont="1" applyFill="1" applyBorder="1" applyAlignment="1"/>
    <xf numFmtId="180" fontId="4" fillId="9" borderId="4" xfId="0" applyNumberFormat="1" applyFont="1" applyFill="1" applyBorder="1" applyAlignment="1"/>
    <xf numFmtId="180" fontId="4" fillId="9" borderId="11" xfId="0" applyNumberFormat="1" applyFont="1" applyFill="1" applyBorder="1" applyAlignment="1"/>
    <xf numFmtId="180" fontId="4" fillId="9" borderId="32" xfId="0" applyNumberFormat="1" applyFont="1" applyFill="1" applyBorder="1" applyAlignment="1"/>
    <xf numFmtId="180" fontId="4" fillId="9" borderId="15" xfId="0" applyNumberFormat="1" applyFont="1" applyFill="1" applyBorder="1" applyAlignment="1"/>
    <xf numFmtId="180" fontId="4" fillId="9" borderId="5" xfId="0" applyNumberFormat="1" applyFont="1" applyFill="1" applyBorder="1" applyAlignment="1"/>
    <xf numFmtId="180" fontId="4" fillId="9" borderId="12" xfId="0" applyNumberFormat="1" applyFont="1" applyFill="1" applyBorder="1" applyAlignment="1"/>
    <xf numFmtId="178" fontId="20" fillId="0" borderId="1" xfId="0" applyNumberFormat="1" applyFont="1" applyFill="1" applyBorder="1" applyAlignment="1"/>
    <xf numFmtId="178" fontId="4" fillId="0" borderId="5" xfId="0" applyNumberFormat="1" applyFont="1" applyFill="1" applyBorder="1" applyAlignment="1"/>
    <xf numFmtId="178" fontId="4" fillId="0" borderId="1" xfId="0" applyNumberFormat="1" applyFont="1" applyFill="1" applyBorder="1" applyAlignment="1"/>
    <xf numFmtId="178" fontId="4" fillId="0" borderId="12" xfId="0" applyNumberFormat="1" applyFont="1" applyFill="1" applyBorder="1" applyAlignment="1"/>
    <xf numFmtId="177" fontId="20" fillId="0" borderId="0" xfId="0" applyNumberFormat="1" applyFont="1" applyFill="1" applyAlignment="1"/>
    <xf numFmtId="177" fontId="21" fillId="0" borderId="32" xfId="0" applyNumberFormat="1" applyFont="1" applyFill="1" applyBorder="1" applyAlignment="1"/>
    <xf numFmtId="178" fontId="4" fillId="0" borderId="32" xfId="0" applyNumberFormat="1" applyFont="1" applyFill="1" applyBorder="1" applyAlignment="1"/>
    <xf numFmtId="178" fontId="4" fillId="0" borderId="15" xfId="0" applyNumberFormat="1" applyFont="1" applyFill="1" applyBorder="1" applyAlignment="1"/>
    <xf numFmtId="177" fontId="16" fillId="0" borderId="4" xfId="0" applyNumberFormat="1" applyFont="1" applyFill="1" applyBorder="1" applyAlignment="1"/>
    <xf numFmtId="177" fontId="16" fillId="0" borderId="11" xfId="0" applyNumberFormat="1" applyFont="1" applyFill="1" applyBorder="1" applyAlignment="1"/>
    <xf numFmtId="177" fontId="4" fillId="0" borderId="32" xfId="0" applyNumberFormat="1" applyFont="1" applyFill="1" applyBorder="1" applyAlignment="1"/>
    <xf numFmtId="178" fontId="20" fillId="0" borderId="15" xfId="0" applyNumberFormat="1" applyFont="1" applyFill="1" applyBorder="1" applyAlignment="1"/>
    <xf numFmtId="227" fontId="2" fillId="0" borderId="0" xfId="0" applyNumberFormat="1" applyFont="1" applyFill="1" applyAlignment="1" applyProtection="1">
      <alignment horizontal="center"/>
      <protection locked="0"/>
    </xf>
    <xf numFmtId="201" fontId="2" fillId="0" borderId="32" xfId="0" applyNumberFormat="1" applyFont="1" applyFill="1" applyBorder="1" applyAlignment="1" applyProtection="1">
      <alignment horizontal="center"/>
      <protection locked="0"/>
    </xf>
    <xf numFmtId="227" fontId="2" fillId="0" borderId="15" xfId="0" applyNumberFormat="1" applyFont="1" applyFill="1" applyBorder="1" applyAlignment="1" applyProtection="1">
      <alignment horizontal="center"/>
      <protection locked="0"/>
    </xf>
    <xf numFmtId="223" fontId="8" fillId="4" borderId="13" xfId="51" applyNumberFormat="1" applyFont="1" applyFill="1" applyBorder="1" applyAlignment="1">
      <alignment horizontal="center"/>
    </xf>
    <xf numFmtId="223" fontId="2" fillId="4" borderId="13" xfId="51" applyNumberFormat="1" applyFont="1" applyFill="1" applyBorder="1" applyAlignment="1">
      <alignment horizontal="center"/>
    </xf>
    <xf numFmtId="203" fontId="11" fillId="4" borderId="16" xfId="51" applyNumberFormat="1" applyFont="1" applyFill="1" applyBorder="1" applyAlignment="1">
      <alignment horizontal="center"/>
    </xf>
    <xf numFmtId="201" fontId="16" fillId="0" borderId="0" xfId="0" applyNumberFormat="1" applyFont="1" applyFill="1" applyAlignment="1"/>
    <xf numFmtId="182" fontId="20" fillId="0" borderId="0" xfId="0" applyNumberFormat="1" applyFont="1" applyFill="1" applyAlignment="1"/>
    <xf numFmtId="182" fontId="21" fillId="0" borderId="32" xfId="0" applyNumberFormat="1" applyFont="1" applyFill="1" applyBorder="1" applyAlignment="1"/>
    <xf numFmtId="182" fontId="21" fillId="0" borderId="15" xfId="0" applyNumberFormat="1" applyFont="1" applyFill="1" applyBorder="1" applyAlignment="1"/>
    <xf numFmtId="177" fontId="4" fillId="0" borderId="15" xfId="0" applyNumberFormat="1" applyFont="1" applyFill="1" applyBorder="1" applyAlignment="1"/>
    <xf numFmtId="201" fontId="14" fillId="0" borderId="32" xfId="0" applyNumberFormat="1" applyFont="1" applyFill="1" applyBorder="1" applyAlignment="1"/>
    <xf numFmtId="201" fontId="14" fillId="0" borderId="15" xfId="0" applyNumberFormat="1" applyFont="1" applyFill="1" applyBorder="1" applyAlignment="1"/>
    <xf numFmtId="218" fontId="4" fillId="0" borderId="32" xfId="0" applyNumberFormat="1" applyFont="1" applyFill="1" applyBorder="1" applyAlignment="1"/>
    <xf numFmtId="218" fontId="4" fillId="0" borderId="15" xfId="0" applyNumberFormat="1" applyFont="1" applyFill="1" applyBorder="1" applyAlignment="1"/>
    <xf numFmtId="201" fontId="4" fillId="0" borderId="32" xfId="0" applyNumberFormat="1" applyFont="1" applyFill="1" applyBorder="1" applyAlignment="1"/>
    <xf numFmtId="201" fontId="4" fillId="0" borderId="15" xfId="0" applyNumberFormat="1" applyFont="1" applyFill="1" applyBorder="1" applyAlignment="1"/>
    <xf numFmtId="223" fontId="11" fillId="4" borderId="13" xfId="51" applyNumberFormat="1" applyFont="1" applyFill="1" applyBorder="1" applyAlignment="1">
      <alignment horizontal="center"/>
    </xf>
    <xf numFmtId="223" fontId="2" fillId="4" borderId="17" xfId="51" applyNumberFormat="1" applyFont="1" applyFill="1" applyBorder="1" applyAlignment="1">
      <alignment horizontal="center"/>
    </xf>
    <xf numFmtId="0" fontId="34" fillId="2" borderId="1" xfId="49" applyFont="1" applyFill="1" applyBorder="1" applyAlignment="1">
      <alignment horizontal="left"/>
    </xf>
    <xf numFmtId="0" fontId="35" fillId="2" borderId="1" xfId="49" applyFont="1" applyFill="1" applyBorder="1" applyAlignment="1">
      <alignment horizontal="left"/>
    </xf>
    <xf numFmtId="0" fontId="36" fillId="2" borderId="1" xfId="49" applyFont="1" applyFill="1" applyBorder="1" applyAlignment="1">
      <alignment horizontal="left"/>
    </xf>
    <xf numFmtId="223" fontId="12" fillId="0" borderId="0" xfId="0" applyNumberFormat="1" applyFont="1" applyFill="1" applyAlignment="1">
      <alignment horizontal="center"/>
    </xf>
    <xf numFmtId="183" fontId="11" fillId="4" borderId="0" xfId="0" applyNumberFormat="1" applyFont="1" applyFill="1" applyAlignment="1">
      <alignment horizontal="centerContinuous"/>
    </xf>
    <xf numFmtId="183" fontId="37" fillId="4" borderId="0" xfId="0" applyNumberFormat="1" applyFont="1" applyFill="1" applyAlignment="1">
      <alignment horizontal="centerContinuous"/>
    </xf>
    <xf numFmtId="183" fontId="11" fillId="4" borderId="1" xfId="0" applyNumberFormat="1" applyFont="1" applyFill="1" applyBorder="1" applyAlignment="1">
      <alignment horizontal="center"/>
    </xf>
    <xf numFmtId="203" fontId="12" fillId="0" borderId="0" xfId="49" applyNumberFormat="1" applyFont="1" applyAlignment="1">
      <alignment horizontal="center"/>
    </xf>
    <xf numFmtId="0" fontId="38" fillId="4" borderId="0" xfId="49" applyFont="1" applyFill="1" applyAlignment="1">
      <alignment horizontal="centerContinuous"/>
    </xf>
    <xf numFmtId="217" fontId="12" fillId="0" borderId="0" xfId="49" applyNumberFormat="1" applyFont="1" applyAlignment="1">
      <alignment horizontal="right"/>
    </xf>
    <xf numFmtId="217" fontId="10" fillId="0" borderId="0" xfId="49" applyNumberFormat="1" applyFont="1" applyAlignment="1">
      <alignment horizontal="right"/>
    </xf>
    <xf numFmtId="0" fontId="10" fillId="0" borderId="0" xfId="49" applyFont="1" applyFill="1" applyAlignment="1">
      <alignment horizontal="left" indent="1"/>
    </xf>
    <xf numFmtId="190" fontId="12" fillId="0" borderId="0" xfId="49" applyNumberFormat="1" applyFont="1"/>
    <xf numFmtId="186" fontId="12" fillId="0" borderId="0" xfId="49" applyNumberFormat="1" applyFont="1"/>
    <xf numFmtId="185" fontId="20" fillId="0" borderId="0" xfId="49" applyNumberFormat="1" applyFont="1"/>
    <xf numFmtId="0" fontId="17" fillId="2" borderId="0" xfId="49" applyFont="1" applyFill="1" applyAlignment="1">
      <alignment horizontal="left"/>
    </xf>
    <xf numFmtId="0" fontId="17" fillId="2" borderId="6" xfId="49" applyFont="1" applyFill="1" applyBorder="1" applyAlignment="1">
      <alignment horizontal="centerContinuous"/>
    </xf>
    <xf numFmtId="0" fontId="17" fillId="2" borderId="7" xfId="49" applyFont="1" applyFill="1" applyBorder="1" applyAlignment="1">
      <alignment horizontal="centerContinuous"/>
    </xf>
    <xf numFmtId="0" fontId="17" fillId="2" borderId="1" xfId="49" applyFont="1" applyFill="1" applyBorder="1" applyAlignment="1">
      <alignment horizontal="left"/>
    </xf>
    <xf numFmtId="0" fontId="6" fillId="2" borderId="1" xfId="49" applyFont="1" applyFill="1" applyBorder="1" applyAlignment="1">
      <alignment horizontal="center"/>
    </xf>
    <xf numFmtId="183" fontId="5" fillId="2" borderId="22" xfId="49" applyNumberFormat="1" applyFont="1" applyFill="1" applyBorder="1" applyAlignment="1">
      <alignment horizontal="center"/>
    </xf>
    <xf numFmtId="0" fontId="9" fillId="4" borderId="13" xfId="49" applyFont="1" applyFill="1" applyBorder="1"/>
    <xf numFmtId="0" fontId="10" fillId="4" borderId="13" xfId="49" applyFont="1" applyFill="1" applyBorder="1"/>
    <xf numFmtId="1" fontId="23" fillId="4" borderId="13" xfId="49" applyNumberFormat="1" applyFont="1" applyFill="1" applyBorder="1" applyAlignment="1">
      <alignment horizontal="center"/>
    </xf>
    <xf numFmtId="203" fontId="12" fillId="0" borderId="0" xfId="49" applyNumberFormat="1" applyFont="1"/>
    <xf numFmtId="0" fontId="10" fillId="4" borderId="1" xfId="49" applyFont="1" applyFill="1" applyBorder="1"/>
    <xf numFmtId="1" fontId="23" fillId="4" borderId="1" xfId="49" applyNumberFormat="1" applyFont="1" applyFill="1" applyBorder="1" applyAlignment="1">
      <alignment horizontal="center"/>
    </xf>
    <xf numFmtId="190" fontId="15" fillId="0" borderId="0" xfId="49" applyNumberFormat="1" applyFont="1"/>
    <xf numFmtId="0" fontId="14" fillId="0" borderId="0" xfId="49" applyFont="1" applyFill="1" applyAlignment="1">
      <alignment horizontal="center"/>
    </xf>
    <xf numFmtId="0" fontId="9" fillId="4" borderId="0" xfId="49" applyFont="1" applyFill="1" applyAlignment="1">
      <alignment horizontal="centerContinuous"/>
    </xf>
    <xf numFmtId="225" fontId="11" fillId="4" borderId="1" xfId="49" applyNumberFormat="1" applyFont="1" applyFill="1" applyBorder="1" applyAlignment="1">
      <alignment horizontal="centerContinuous"/>
    </xf>
    <xf numFmtId="203" fontId="20" fillId="0" borderId="0" xfId="50" applyNumberFormat="1" applyFont="1" applyFill="1" applyBorder="1" applyAlignment="1">
      <alignment horizontal="center"/>
    </xf>
    <xf numFmtId="213" fontId="12" fillId="0" borderId="0" xfId="49" applyNumberFormat="1" applyFont="1"/>
    <xf numFmtId="0" fontId="17" fillId="0" borderId="0" xfId="49" applyFont="1" applyFill="1" applyAlignment="1"/>
    <xf numFmtId="0" fontId="10" fillId="0" borderId="0" xfId="49" applyFont="1" applyAlignment="1"/>
    <xf numFmtId="203" fontId="12" fillId="0" borderId="0" xfId="49" applyNumberFormat="1" applyFont="1" applyFill="1"/>
    <xf numFmtId="176" fontId="12" fillId="0" borderId="0" xfId="49" applyNumberFormat="1" applyFont="1" applyFill="1"/>
    <xf numFmtId="0" fontId="14" fillId="0" borderId="1" xfId="49" applyFont="1" applyFill="1" applyBorder="1" applyAlignment="1">
      <alignment horizontal="center"/>
    </xf>
    <xf numFmtId="218" fontId="20" fillId="0" borderId="0" xfId="0" applyNumberFormat="1" applyFont="1" applyFill="1" applyAlignment="1"/>
    <xf numFmtId="0" fontId="39" fillId="0" borderId="0" xfId="0" applyFont="1" applyFill="1" applyAlignment="1">
      <alignment vertical="center"/>
    </xf>
    <xf numFmtId="0" fontId="14" fillId="0" borderId="0" xfId="0" applyNumberFormat="1" applyFont="1" applyFill="1" applyAlignment="1" quotePrefix="1">
      <alignment horizontal="center"/>
    </xf>
    <xf numFmtId="0" fontId="14" fillId="0" borderId="1" xfId="0" applyNumberFormat="1" applyFont="1" applyFill="1" applyBorder="1" applyAlignment="1" quotePrefix="1">
      <alignment horizontal="center"/>
    </xf>
  </cellXfs>
  <cellStyles count="56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Normal 3" xfId="49"/>
    <cellStyle name="Note 2" xfId="50"/>
    <cellStyle name="Normal 2" xfId="51"/>
    <cellStyle name="Normal 3 2" xfId="52"/>
    <cellStyle name="Normal 4 2" xfId="53"/>
    <cellStyle name="TextNormal" xfId="54"/>
    <cellStyle name="Normal 3 3" xfId="55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'Value-Creation'!$W$22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'Value-Creation'!$W$23:$W$28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'Value-Creation'!$X$22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'Value-Creation'!$X$23:$X$28</c:f>
              <c:numCache>
                <c:formatCode>_(#,##0.0%_);\(#,##0.0%\);_("–"_)_%;_(@_)_%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'Value-Creation'!$Y$22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'Value-Creation'!$U$23:$U$28</c:f>
              <c:strCache>
                <c:ptCount val="6"/>
                <c:pt idx="0">
                  <c:v>Year 1 EBITDA Growth</c:v>
                </c:pt>
                <c:pt idx="1">
                  <c:v>Year 2 EBITDA Growth</c:v>
                </c:pt>
                <c:pt idx="2">
                  <c:v>Year 1 FFO Growth</c:v>
                </c:pt>
                <c:pt idx="3">
                  <c:v>Year 2 FFO Growth</c:v>
                </c:pt>
                <c:pt idx="4">
                  <c:v>Year 1 AFFO Growth</c:v>
                </c:pt>
                <c:pt idx="5">
                  <c:v>Year 2 AFFO Growth</c:v>
                </c:pt>
              </c:strCache>
            </c:strRef>
          </c:cat>
          <c:val>
            <c:numRef>
              <c:f>'Value-Creation'!$Y$23:$Y$28</c:f>
              <c:numCache>
                <c:formatCode>_(#,##0.0%_);\(#,##0.0%\);_("–"_)_%;_(@_)_%</c:formatCode>
                <c:ptCount val="6"/>
                <c:pt idx="0">
                  <c:v>0.345791431826105</c:v>
                </c:pt>
                <c:pt idx="1">
                  <c:v>0.153772064806523</c:v>
                </c:pt>
                <c:pt idx="2">
                  <c:v>0.266538305209555</c:v>
                </c:pt>
                <c:pt idx="3">
                  <c:v>0.180696662077745</c:v>
                </c:pt>
                <c:pt idx="4">
                  <c:v>0.378177957305053</c:v>
                </c:pt>
                <c:pt idx="5">
                  <c:v>0.166225677697879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vs. Closest Peer</a:t>
            </a:r>
            <a:r>
              <a:rPr lang="en-US" b="1" baseline="0">
                <a:solidFill>
                  <a:sysClr val="windowText" lastClr="000000"/>
                </a:solidFill>
              </a:rPr>
              <a:t> Company vs. Combined Entity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'Value-Creation'!$W$30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'Value-Creation'!$W$31:$W$36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'Value-Creation'!$X$30</c:f>
              <c:strCache>
                <c:ptCount val="1"/>
                <c:pt idx="0">
                  <c:v>EQIX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'Value-Creation'!$X$31:$X$36</c:f>
              <c:numCache>
                <c:formatCode>_(* #,##0.0_);_(* \(#,##0.0\);_(* "-"?_);_(@_)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2"/>
          <c:order val="2"/>
          <c:tx>
            <c:strRef>
              <c:f>'Value-Creation'!$Y$30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'Value-Creation'!$U$31:$U$36</c:f>
              <c:strCache>
                <c:ptCount val="6"/>
                <c:pt idx="0">
                  <c:v>Year 1 EBITDA</c:v>
                </c:pt>
                <c:pt idx="1">
                  <c:v>Year 2 EBITDA</c:v>
                </c:pt>
                <c:pt idx="2">
                  <c:v>Year 1 FFO</c:v>
                </c:pt>
                <c:pt idx="3">
                  <c:v>Year 2 FFO</c:v>
                </c:pt>
                <c:pt idx="4">
                  <c:v>Year 1 AFFO</c:v>
                </c:pt>
                <c:pt idx="5">
                  <c:v>Year 2 AFFO</c:v>
                </c:pt>
              </c:strCache>
            </c:strRef>
          </c:cat>
          <c:val>
            <c:numRef>
              <c:f>'Value-Creation'!$Y$31:$Y$36</c:f>
              <c:numCache>
                <c:formatCode>_(* #,##0.0_);_(* \(#,##0.0\);_(* "-"?_);_(@_)</c:formatCode>
                <c:ptCount val="6"/>
                <c:pt idx="0">
                  <c:v>1800.95549025048</c:v>
                </c:pt>
                <c:pt idx="1">
                  <c:v>2077.89213461094</c:v>
                </c:pt>
                <c:pt idx="2">
                  <c:v>1245.18475908814</c:v>
                </c:pt>
                <c:pt idx="3">
                  <c:v>1470.18548872545</c:v>
                </c:pt>
                <c:pt idx="4">
                  <c:v>1262.152572575</c:v>
                </c:pt>
                <c:pt idx="5">
                  <c:v>1471.9547393094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Value Creation Analysis - Buyer Standalone Share Price vs. Combined</a:t>
            </a:r>
            <a:r>
              <a:rPr lang="en-US" b="1" baseline="0">
                <a:solidFill>
                  <a:sysClr val="windowText" lastClr="000000"/>
                </a:solidFill>
              </a:rPr>
              <a:t> Entity Share Price Implied by Multiples of Closest Peer Company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'Value-Creation'!$W$38</c:f>
              <c:strCache>
                <c:ptCount val="1"/>
                <c:pt idx="0">
                  <c:v>DLR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'Value-Creation'!$W$39:$W$47</c:f>
              <c:numCache>
                <c:formatCode>_("$"* #,##0.00_);_("$"* \(#,##0.00\);_("$"* "-"??_);_(@_)</c:formatCode>
                <c:ptCount val="9"/>
                <c:pt idx="0">
                  <c:v>118.02</c:v>
                </c:pt>
                <c:pt idx="1" c:formatCode="_(* #,##0.00_);_(* \(#,##0.00\);_(* &quot;-&quot;??_);_(@_)">
                  <c:v>118.02</c:v>
                </c:pt>
                <c:pt idx="2" c:formatCode="_(* #,##0.00_);_(* \(#,##0.00\);_(* &quot;-&quot;??_);_(@_)">
                  <c:v>118.02</c:v>
                </c:pt>
                <c:pt idx="3" c:formatCode="_(* #,##0.00_);_(* \(#,##0.00\);_(* &quot;-&quot;??_);_(@_)">
                  <c:v>118.02</c:v>
                </c:pt>
                <c:pt idx="4" c:formatCode="_(* #,##0.00_);_(* \(#,##0.00\);_(* &quot;-&quot;??_);_(@_)">
                  <c:v>118.02</c:v>
                </c:pt>
                <c:pt idx="5" c:formatCode="_(* #,##0.00_);_(* \(#,##0.00\);_(* &quot;-&quot;??_);_(@_)">
                  <c:v>118.02</c:v>
                </c:pt>
                <c:pt idx="6" c:formatCode="_(* #,##0.00_);_(* \(#,##0.00\);_(* &quot;-&quot;??_);_(@_)">
                  <c:v>118.02</c:v>
                </c:pt>
                <c:pt idx="7" c:formatCode="_(* #,##0.00_);_(* \(#,##0.00\);_(* &quot;-&quot;??_);_(@_)">
                  <c:v>118.02</c:v>
                </c:pt>
                <c:pt idx="8" c:formatCode="_(* #,##0.00_);_(* \(#,##0.00\);_(* &quot;-&quot;??_);_(@_)">
                  <c:v>118.02</c:v>
                </c:pt>
              </c:numCache>
            </c:numRef>
          </c:val>
        </c:ser>
        <c:ser>
          <c:idx val="1"/>
          <c:order val="1"/>
          <c:tx>
            <c:strRef>
              <c:f>'Value-Creation'!$X$38</c:f>
              <c:strCache>
                <c:ptCount val="1"/>
                <c:pt idx="0">
                  <c:v>DLR + DFT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.00_);_(&quot;$&quot;* \(#,##0.00\);_(&quot;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'Value-Creation'!$U$39:$U$47</c:f>
              <c:strCache>
                <c:ptCount val="9"/>
                <c:pt idx="0">
                  <c:v>FY 17 EV / EBITDA</c:v>
                </c:pt>
                <c:pt idx="1">
                  <c:v>FY 18 EV / EBITDA</c:v>
                </c:pt>
                <c:pt idx="2">
                  <c:v>FY 19 EV / EBITDA</c:v>
                </c:pt>
                <c:pt idx="3">
                  <c:v>FY 17 P / FFO</c:v>
                </c:pt>
                <c:pt idx="4">
                  <c:v>FY 18 P / FFO</c:v>
                </c:pt>
                <c:pt idx="5">
                  <c:v>FY 19 P / FFO</c:v>
                </c:pt>
                <c:pt idx="6">
                  <c:v>FY 17 P / AFFO</c:v>
                </c:pt>
                <c:pt idx="7">
                  <c:v>FY 18 P / AFFO</c:v>
                </c:pt>
                <c:pt idx="8">
                  <c:v>FY 19 P / AFFO</c:v>
                </c:pt>
              </c:strCache>
            </c:strRef>
          </c:cat>
          <c:val>
            <c:numRef>
              <c:f>'Value-Creation'!$X$39:$X$47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 c:formatCode="_(* #,##0.00_);_(* \(#,##0.00\);_(* &quot;-&quot;??_);_(@_)">
                  <c:v>0</c:v>
                </c:pt>
                <c:pt idx="2" c:formatCode="_(* #,##0.00_);_(* \(#,##0.00\);_(* &quot;-&quot;??_);_(@_)">
                  <c:v>0</c:v>
                </c:pt>
                <c:pt idx="3" c:formatCode="_(* #,##0.00_);_(* \(#,##0.00\);_(* &quot;-&quot;??_);_(@_)">
                  <c:v>0</c:v>
                </c:pt>
                <c:pt idx="4" c:formatCode="_(* #,##0.00_);_(* \(#,##0.00\);_(* &quot;-&quot;??_);_(@_)">
                  <c:v>0</c:v>
                </c:pt>
                <c:pt idx="5" c:formatCode="_(* #,##0.00_);_(* \(#,##0.00\);_(* &quot;-&quot;??_);_(@_)">
                  <c:v>0</c:v>
                </c:pt>
                <c:pt idx="6" c:formatCode="_(* #,##0.00_);_(* \(#,##0.00\);_(* &quot;-&quot;??_);_(@_)">
                  <c:v>0</c:v>
                </c:pt>
                <c:pt idx="7" c:formatCode="_(* #,##0.00_);_(* \(#,##0.00\);_(* &quot;-&quot;??_);_(@_)">
                  <c:v>0</c:v>
                </c:pt>
                <c:pt idx="8" c:formatCode="_(* #,##0.00_);_(* \(#,##0.00\);_(* &quot;-&quot;??_);_(@_)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Relative Contribution Analysis: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"Buyer"</c:f>
              <c:strCache>
                <c:ptCount val="1"/>
                <c:pt idx="0">
                  <c:v>Buyer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Contrib.!$G$47:$G$58</c:f>
              <c:numCache>
                <c:formatCode>0.0%_);\(0.0%\);\-_%_);@_)</c:formatCode>
                <c:ptCount val="12"/>
                <c:pt idx="0">
                  <c:v>0.833344217029844</c:v>
                </c:pt>
                <c:pt idx="1">
                  <c:v>0.790630054332685</c:v>
                </c:pt>
                <c:pt idx="2">
                  <c:v>0.763504015190719</c:v>
                </c:pt>
                <c:pt idx="3">
                  <c:v>0.72489006507611</c:v>
                </c:pt>
                <c:pt idx="4">
                  <c:v>0.735260947811855</c:v>
                </c:pt>
                <c:pt idx="5">
                  <c:v>0.741322096081254</c:v>
                </c:pt>
                <c:pt idx="6">
                  <c:v>0.752079579254974</c:v>
                </c:pt>
                <c:pt idx="7">
                  <c:v>0.754094418386717</c:v>
                </c:pt>
                <c:pt idx="8">
                  <c:v>0.76430253155793</c:v>
                </c:pt>
                <c:pt idx="9">
                  <c:v>0.761477607459114</c:v>
                </c:pt>
                <c:pt idx="10">
                  <c:v>0.761759962822555</c:v>
                </c:pt>
                <c:pt idx="11">
                  <c:v>0.771636624250689</c:v>
                </c:pt>
              </c:numCache>
            </c:numRef>
          </c:val>
        </c:ser>
        <c:ser>
          <c:idx val="1"/>
          <c:order val="1"/>
          <c:tx>
            <c:strRef>
              <c:f>"Seller"</c:f>
              <c:strCache>
                <c:ptCount val="1"/>
                <c:pt idx="0">
                  <c:v>Seller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Contrib.!$H$47:$H$58</c:f>
              <c:numCache>
                <c:formatCode>0.0%_);\(0.0%\);\-_%_);@_)</c:formatCode>
                <c:ptCount val="12"/>
                <c:pt idx="0">
                  <c:v>0.166655782970156</c:v>
                </c:pt>
                <c:pt idx="1">
                  <c:v>0.209369945667315</c:v>
                </c:pt>
                <c:pt idx="2">
                  <c:v>0.236495984809281</c:v>
                </c:pt>
                <c:pt idx="3">
                  <c:v>0.27510993492389</c:v>
                </c:pt>
                <c:pt idx="4">
                  <c:v>0.264739052188145</c:v>
                </c:pt>
                <c:pt idx="5">
                  <c:v>0.258677903918746</c:v>
                </c:pt>
                <c:pt idx="6">
                  <c:v>0.247920420745026</c:v>
                </c:pt>
                <c:pt idx="7">
                  <c:v>0.245905581613283</c:v>
                </c:pt>
                <c:pt idx="8">
                  <c:v>0.23569746844207</c:v>
                </c:pt>
                <c:pt idx="9">
                  <c:v>0.238522392540886</c:v>
                </c:pt>
                <c:pt idx="10">
                  <c:v>0.238240037177445</c:v>
                </c:pt>
                <c:pt idx="11">
                  <c:v>0.228363375749311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976312"/>
        <c:axId val="136975920"/>
      </c:barChart>
      <c:scatterChart>
        <c:scatterStyle val="lineMarker"/>
        <c:varyColors val="0"/>
        <c:ser>
          <c:idx val="2"/>
          <c:order val="2"/>
          <c:tx>
            <c:strRef>
              <c:f>Contrib.!$C$60</c:f>
              <c:strCache>
                <c:ptCount val="1"/>
                <c:pt idx="0">
                  <c:v>Current Deal Terms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</c:dPt>
          <c:dLbls>
            <c:delete val="1"/>
          </c:dLbls>
          <c:xVal>
            <c:numRef>
              <c:f>Contrib.!$G$60:$G$61</c:f>
              <c:numCache>
                <c:formatCode>0.0%_);\(0.0%\);\-_%_);@_)</c:formatCode>
                <c:ptCount val="2"/>
                <c:pt idx="0">
                  <c:v>0.766647804097065</c:v>
                </c:pt>
                <c:pt idx="1">
                  <c:v>0.766647804097065</c:v>
                </c:pt>
              </c:numCache>
            </c:numRef>
          </c:xVal>
          <c:yVal>
            <c:numRef>
              <c:f>{0,1}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313144"/>
        <c:axId val="953312816"/>
      </c:scatterChart>
      <c:catAx>
        <c:axId val="136976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5920"/>
        <c:crosses val="autoZero"/>
        <c:auto val="1"/>
        <c:lblAlgn val="ctr"/>
        <c:lblOffset val="100"/>
        <c:noMultiLvlLbl val="0"/>
      </c:catAx>
      <c:valAx>
        <c:axId val="13697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6312"/>
        <c:crosses val="autoZero"/>
        <c:crossBetween val="between"/>
      </c:valAx>
      <c:valAx>
        <c:axId val="9533131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_);\(0.0%\);\-_%_);@_)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2816"/>
        <c:crosses val="autoZero"/>
        <c:crossBetween val="midCat"/>
      </c:valAx>
      <c:valAx>
        <c:axId val="953312816"/>
        <c:scaling>
          <c:orientation val="minMax"/>
          <c:max val="1"/>
        </c:scaling>
        <c:delete val="1"/>
        <c:axPos val="r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x-none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533131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x-none"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Offer</a:t>
            </a:r>
            <a:r>
              <a:rPr lang="en-US" b="1" baseline="0">
                <a:solidFill>
                  <a:sysClr val="windowText" lastClr="000000"/>
                </a:solidFill>
              </a:rPr>
              <a:t> Price vs. Implied Price per Share Based on Relative Contribution:</a:t>
            </a:r>
            <a:endParaRPr lang="en-US" b="1">
              <a:solidFill>
                <a:sysClr val="windowText" lastClr="000000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"Offer Price"</c:f>
              <c:strCache>
                <c:ptCount val="1"/>
                <c:pt idx="0">
                  <c:v>Offer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Contrib.!$I$47:$I$58</c:f>
              <c:numCache>
                <c:formatCode>_("$"* #,##0.00_);_("$"* \(#,##0.00\);_("$"* "-"??_);_(@_)</c:formatCode>
                <c:ptCount val="12"/>
                <c:pt idx="0">
                  <c:v>64.3209</c:v>
                </c:pt>
                <c:pt idx="1" c:formatCode="_(* #,##0.00_);_(* \(#,##0.00\);_(* &quot;-&quot;??_);_(@_)">
                  <c:v>64.3209</c:v>
                </c:pt>
                <c:pt idx="2" c:formatCode="_(* #,##0.00_);_(* \(#,##0.00\);_(* &quot;-&quot;??_);_(@_)">
                  <c:v>64.3209</c:v>
                </c:pt>
                <c:pt idx="3" c:formatCode="_(* #,##0.00_);_(* \(#,##0.00\);_(* &quot;-&quot;??_);_(@_)">
                  <c:v>64.3209</c:v>
                </c:pt>
                <c:pt idx="4" c:formatCode="_(* #,##0.00_);_(* \(#,##0.00\);_(* &quot;-&quot;??_);_(@_)">
                  <c:v>64.3209</c:v>
                </c:pt>
                <c:pt idx="5" c:formatCode="_(* #,##0.00_);_(* \(#,##0.00\);_(* &quot;-&quot;??_);_(@_)">
                  <c:v>64.3209</c:v>
                </c:pt>
                <c:pt idx="6" c:formatCode="_(* #,##0.00_);_(* \(#,##0.00\);_(* &quot;-&quot;??_);_(@_)">
                  <c:v>64.3209</c:v>
                </c:pt>
                <c:pt idx="7" c:formatCode="_(* #,##0.00_);_(* \(#,##0.00\);_(* &quot;-&quot;??_);_(@_)">
                  <c:v>64.3209</c:v>
                </c:pt>
                <c:pt idx="8" c:formatCode="_(* #,##0.00_);_(* \(#,##0.00\);_(* &quot;-&quot;??_);_(@_)">
                  <c:v>64.3209</c:v>
                </c:pt>
                <c:pt idx="9" c:formatCode="_(* #,##0.00_);_(* \(#,##0.00\);_(* &quot;-&quot;??_);_(@_)">
                  <c:v>64.3209</c:v>
                </c:pt>
                <c:pt idx="10" c:formatCode="_(* #,##0.00_);_(* \(#,##0.00\);_(* &quot;-&quot;??_);_(@_)">
                  <c:v>64.3209</c:v>
                </c:pt>
                <c:pt idx="11" c:formatCode="_(* #,##0.00_);_(* \(#,##0.00\);_(* &quot;-&quot;??_);_(@_)">
                  <c:v>64.3209</c:v>
                </c:pt>
              </c:numCache>
            </c:numRef>
          </c:val>
        </c:ser>
        <c:ser>
          <c:idx val="1"/>
          <c:order val="1"/>
          <c:tx>
            <c:strRef>
              <c:f>"Implied Share Price"</c:f>
              <c:strCache>
                <c:ptCount val="1"/>
                <c:pt idx="0">
                  <c:v>Implied Share 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x-none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Contrib.!$C$47:$C$58</c:f>
              <c:strCache>
                <c:ptCount val="12"/>
                <c:pt idx="0">
                  <c:v>Common Equity:</c:v>
                </c:pt>
                <c:pt idx="1">
                  <c:v>Total Assets:</c:v>
                </c:pt>
                <c:pt idx="2">
                  <c:v>Gross Real Estate Assets:</c:v>
                </c:pt>
                <c:pt idx="3">
                  <c:v>AFFO - Combined Year 1 - 2019-12-31:</c:v>
                </c:pt>
                <c:pt idx="4">
                  <c:v>AFFO - Combined Year 1 - 2018-12-31:</c:v>
                </c:pt>
                <c:pt idx="5">
                  <c:v>FFO - Combined Year 1 - 2019-12-31:</c:v>
                </c:pt>
                <c:pt idx="6">
                  <c:v>FFO - Combined Year 1 - 2018-12-31:</c:v>
                </c:pt>
                <c:pt idx="7">
                  <c:v>EBITDA - Combined Year 1 - 2019-12-31:</c:v>
                </c:pt>
                <c:pt idx="8" c:formatCode="yyyy\-mm\-dd">
                  <c:v>EBITDA - Combined Year 1 - 2018-12-31:</c:v>
                </c:pt>
                <c:pt idx="9">
                  <c:v>Net Asset Value (NAV):</c:v>
                </c:pt>
                <c:pt idx="10">
                  <c:v>NOI - Combined Year 1 - 2019-12-31:</c:v>
                </c:pt>
                <c:pt idx="11">
                  <c:v>NOI - Combined Year 1 - 2018-12-31:</c:v>
                </c:pt>
              </c:strCache>
            </c:strRef>
          </c:cat>
          <c:val>
            <c:numRef>
              <c:f>Contrib.!$J$47:$J$58</c:f>
              <c:numCache>
                <c:formatCode>_("$"* #,##0.00_);_("$"* \(#,##0.00\);_("$"* "-"??_);_(@_)</c:formatCode>
                <c:ptCount val="12"/>
                <c:pt idx="0">
                  <c:v>42.2738863744404</c:v>
                </c:pt>
                <c:pt idx="1" c:formatCode="_(* #,##0.00_);_(* \(#,##0.00\);_(* &quot;-&quot;??_);_(@_)">
                  <c:v>55.977981537339</c:v>
                </c:pt>
                <c:pt idx="2" c:formatCode="_(* #,##0.00_);_(* \(#,##0.00\);_(* &quot;-&quot;??_);_(@_)">
                  <c:v>65.4769829660127</c:v>
                </c:pt>
                <c:pt idx="3" c:formatCode="_(* #,##0.00_);_(* \(#,##0.00\);_(* &quot;-&quot;??_);_(@_)">
                  <c:v>80.2251134612058</c:v>
                </c:pt>
                <c:pt idx="4" c:formatCode="_(* #,##0.00_);_(* \(#,##0.00\);_(* &quot;-&quot;??_);_(@_)">
                  <c:v>76.1119280214381</c:v>
                </c:pt>
                <c:pt idx="5" c:formatCode="_(* #,##0.00_);_(* \(#,##0.00\);_(* &quot;-&quot;??_);_(@_)">
                  <c:v>73.7613066702507</c:v>
                </c:pt>
                <c:pt idx="6" c:formatCode="_(* #,##0.00_);_(* \(#,##0.00\);_(* &quot;-&quot;??_);_(@_)">
                  <c:v>69.6826594105912</c:v>
                </c:pt>
                <c:pt idx="7" c:formatCode="_(* #,##0.00_);_(* \(#,##0.00\);_(* &quot;-&quot;??_);_(@_)">
                  <c:v>77.1570299217374</c:v>
                </c:pt>
                <c:pt idx="8" c:formatCode="_(* #,##0.00_);_(* \(#,##0.00\);_(* &quot;-&quot;??_);_(@_)">
                  <c:v>72.0289248209745</c:v>
                </c:pt>
                <c:pt idx="9" c:formatCode="_(* #,##0.00_);_(* \(#,##0.00\);_(* &quot;-&quot;??_);_(@_)">
                  <c:v>66.2137574640645</c:v>
                </c:pt>
                <c:pt idx="10" c:formatCode="_(* #,##0.00_);_(* \(#,##0.00\);_(* &quot;-&quot;??_);_(@_)">
                  <c:v>73.2933458992593</c:v>
                </c:pt>
                <c:pt idx="11" c:formatCode="_(* #,##0.00_);_(* \(#,##0.00\);_(* &quot;-&quot;??_);_(@_)">
                  <c:v>68.4283592059289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971216"/>
        <c:axId val="136971608"/>
      </c:barChart>
      <c:catAx>
        <c:axId val="13697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608"/>
        <c:crosses val="autoZero"/>
        <c:auto val="1"/>
        <c:lblAlgn val="ctr"/>
        <c:lblOffset val="100"/>
        <c:noMultiLvlLbl val="0"/>
      </c:catAx>
      <c:valAx>
        <c:axId val="13697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x-none"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</a:p>
        </c:txPr>
        <c:crossAx val="136971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x-none"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x-none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26</xdr:col>
      <xdr:colOff>44823</xdr:colOff>
      <xdr:row>6</xdr:row>
      <xdr:rowOff>134471</xdr:rowOff>
    </xdr:from>
    <xdr:to>
      <xdr:col>43</xdr:col>
      <xdr:colOff>508756</xdr:colOff>
      <xdr:row>29</xdr:row>
      <xdr:rowOff>11193</xdr:rowOff>
    </xdr:to>
    <xdr:graphicFrame>
      <xdr:nvGraphicFramePr>
        <xdr:cNvPr id="2" name="Chart 2"/>
        <xdr:cNvGraphicFramePr/>
      </xdr:nvGraphicFramePr>
      <xdr:xfrm>
        <a:off x="18627725" y="1284605"/>
        <a:ext cx="11065510" cy="40392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44823</xdr:colOff>
      <xdr:row>30</xdr:row>
      <xdr:rowOff>11206</xdr:rowOff>
    </xdr:from>
    <xdr:to>
      <xdr:col>43</xdr:col>
      <xdr:colOff>508756</xdr:colOff>
      <xdr:row>52</xdr:row>
      <xdr:rowOff>89633</xdr:rowOff>
    </xdr:to>
    <xdr:graphicFrame>
      <xdr:nvGraphicFramePr>
        <xdr:cNvPr id="3" name="Chart 3"/>
        <xdr:cNvGraphicFramePr/>
      </xdr:nvGraphicFramePr>
      <xdr:xfrm>
        <a:off x="18627725" y="5504815"/>
        <a:ext cx="11065510" cy="41935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33618</xdr:colOff>
      <xdr:row>53</xdr:row>
      <xdr:rowOff>0</xdr:rowOff>
    </xdr:from>
    <xdr:to>
      <xdr:col>43</xdr:col>
      <xdr:colOff>497551</xdr:colOff>
      <xdr:row>76</xdr:row>
      <xdr:rowOff>112059</xdr:rowOff>
    </xdr:to>
    <xdr:graphicFrame>
      <xdr:nvGraphicFramePr>
        <xdr:cNvPr id="4" name="Chart 4"/>
        <xdr:cNvGraphicFramePr/>
      </xdr:nvGraphicFramePr>
      <xdr:xfrm>
        <a:off x="18616295" y="9808845"/>
        <a:ext cx="11065510" cy="463613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0</xdr:colOff>
      <xdr:row>61</xdr:row>
      <xdr:rowOff>0</xdr:rowOff>
    </xdr:from>
    <xdr:to>
      <xdr:col>17</xdr:col>
      <xdr:colOff>514350</xdr:colOff>
      <xdr:row>88</xdr:row>
      <xdr:rowOff>139141</xdr:rowOff>
    </xdr:to>
    <xdr:graphicFrame>
      <xdr:nvGraphicFramePr>
        <xdr:cNvPr id="2" name="Chart 1"/>
        <xdr:cNvGraphicFramePr/>
      </xdr:nvGraphicFramePr>
      <xdr:xfrm>
        <a:off x="361950" y="12068175"/>
        <a:ext cx="15240000" cy="5120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22</xdr:col>
      <xdr:colOff>480742</xdr:colOff>
      <xdr:row>122</xdr:row>
      <xdr:rowOff>95250</xdr:rowOff>
    </xdr:to>
    <xdr:graphicFrame>
      <xdr:nvGraphicFramePr>
        <xdr:cNvPr id="3" name="Chart 2"/>
        <xdr:cNvGraphicFramePr/>
      </xdr:nvGraphicFramePr>
      <xdr:xfrm>
        <a:off x="361950" y="17411700"/>
        <a:ext cx="19444970" cy="58864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9"/>
  <sheetViews>
    <sheetView workbookViewId="0">
      <selection activeCell="A20" sqref="A20"/>
    </sheetView>
  </sheetViews>
  <sheetFormatPr defaultColWidth="9" defaultRowHeight="13.5" outlineLevelCol="1"/>
  <cols>
    <col min="1" max="1" width="9" style="735"/>
    <col min="2" max="2" width="52.25" style="735" customWidth="1"/>
    <col min="3" max="16384" width="9" style="735"/>
  </cols>
  <sheetData>
    <row r="1" spans="2:2">
      <c r="B1" s="735" t="s">
        <v>0</v>
      </c>
    </row>
    <row r="2" spans="1:2">
      <c r="A2" s="735">
        <v>1</v>
      </c>
      <c r="B2" s="735" t="s">
        <v>1</v>
      </c>
    </row>
    <row r="3" spans="1:2">
      <c r="A3" s="735">
        <v>2</v>
      </c>
      <c r="B3" s="735" t="s">
        <v>2</v>
      </c>
    </row>
    <row r="4" spans="1:2">
      <c r="A4" s="735">
        <v>3</v>
      </c>
      <c r="B4" s="735" t="s">
        <v>3</v>
      </c>
    </row>
    <row r="6" spans="2:2">
      <c r="B6" s="735" t="s">
        <v>4</v>
      </c>
    </row>
    <row r="7" spans="1:2">
      <c r="A7" s="735">
        <v>1</v>
      </c>
      <c r="B7" s="735" t="s">
        <v>1</v>
      </c>
    </row>
    <row r="8" spans="1:2">
      <c r="A8" s="735">
        <v>2</v>
      </c>
      <c r="B8" s="735" t="s">
        <v>5</v>
      </c>
    </row>
    <row r="9" spans="1:2">
      <c r="A9" s="735">
        <v>3</v>
      </c>
      <c r="B9" s="735" t="s">
        <v>6</v>
      </c>
    </row>
    <row r="11" spans="2:2">
      <c r="B11" s="735" t="s">
        <v>7</v>
      </c>
    </row>
    <row r="12" spans="1:2">
      <c r="A12" s="735">
        <v>1</v>
      </c>
      <c r="B12" s="735" t="s">
        <v>8</v>
      </c>
    </row>
    <row r="13" spans="1:2">
      <c r="A13" s="735">
        <v>2</v>
      </c>
      <c r="B13" s="735" t="s">
        <v>1</v>
      </c>
    </row>
    <row r="14" spans="1:2">
      <c r="A14" s="735">
        <v>3</v>
      </c>
      <c r="B14" s="735" t="s">
        <v>9</v>
      </c>
    </row>
    <row r="16" spans="2:2">
      <c r="B16" s="735" t="s">
        <v>10</v>
      </c>
    </row>
    <row r="17" spans="1:2">
      <c r="A17" s="735">
        <v>1</v>
      </c>
      <c r="B17" s="735" t="s">
        <v>11</v>
      </c>
    </row>
    <row r="18" spans="1:2">
      <c r="A18" s="735">
        <v>2</v>
      </c>
      <c r="B18" s="735" t="s">
        <v>9</v>
      </c>
    </row>
    <row r="19" spans="1:2">
      <c r="A19" s="735">
        <v>3</v>
      </c>
      <c r="B19" s="735" t="s">
        <v>12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autoPageBreaks="0"/>
  </sheetPr>
  <dimension ref="B2:L84"/>
  <sheetViews>
    <sheetView showGridLines="0" zoomScale="77" zoomScaleNormal="77" topLeftCell="G4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4.125" style="26" customWidth="1"/>
    <col min="4" max="12" width="12" style="26" customWidth="1"/>
    <col min="13" max="13" width="2.375" style="26" customWidth="1"/>
    <col min="14" max="16384" width="8" style="26"/>
  </cols>
  <sheetData>
    <row r="2" ht="18.75" spans="2:2">
      <c r="B2" s="3" t="str">
        <f>"Transaction Summary - "&amp;Buyer_Name&amp;" and "&amp;Seller_Name</f>
        <v>Transaction Summary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ht="15.75" spans="2:12">
      <c r="B5" s="696" t="s">
        <v>13</v>
      </c>
      <c r="C5" s="697"/>
      <c r="D5" s="698"/>
      <c r="E5" s="698"/>
      <c r="F5" s="698"/>
      <c r="G5" s="698"/>
      <c r="H5" s="698"/>
      <c r="I5" s="698"/>
      <c r="J5" s="698"/>
      <c r="K5" s="698"/>
      <c r="L5" s="698"/>
    </row>
    <row r="6" outlineLevel="1"/>
    <row r="7" outlineLevel="1" spans="3:4">
      <c r="C7" s="394" t="s">
        <v>14</v>
      </c>
      <c r="D7" s="26" t="str">
        <f>Buyer_Name&amp;" / "&amp;Seller_Name</f>
        <v>Digital Realty Trust, Inc. / DuPont Fabros Technology, Inc.</v>
      </c>
    </row>
    <row r="8" outlineLevel="1" spans="3:4">
      <c r="C8" s="394" t="s">
        <v>15</v>
      </c>
      <c r="D8" s="26" t="str">
        <f>TEXT(Close_Date,"mmmmmmm dd, yyyy")</f>
        <v>S 30, 2017</v>
      </c>
    </row>
    <row r="9" outlineLevel="1" spans="3:4">
      <c r="C9" s="394" t="s">
        <v>16</v>
      </c>
      <c r="D9" s="699">
        <f>Exchange_Ratio</f>
        <v>0.545</v>
      </c>
    </row>
    <row r="10" outlineLevel="1" spans="3:4">
      <c r="C10" s="394" t="s">
        <v>17</v>
      </c>
      <c r="D10" s="26" t="str">
        <f>TEXT(Offer_Price,"$0.00")&amp;" Per Share ("&amp;TEXT(Equity_Purchase_Price,"$0,0")&amp;" Million); Undisturbed Share Price Premium of "&amp;TEXT(Purchase_Premium,"0.0%")</f>
        <v>$64.32 Per Share ($5,831 Million); Undisturbed Share Price Premium of 15.8%</v>
      </c>
    </row>
    <row r="11" outlineLevel="1"/>
    <row r="12" outlineLevel="1" spans="3:12">
      <c r="C12" s="372" t="s">
        <v>18</v>
      </c>
      <c r="D12" s="398" t="s">
        <v>19</v>
      </c>
      <c r="E12" s="700" t="s">
        <v>20</v>
      </c>
      <c r="F12" s="701" t="s">
        <v>21</v>
      </c>
      <c r="G12" s="700"/>
      <c r="H12" s="701" t="s">
        <v>22</v>
      </c>
      <c r="I12" s="700"/>
      <c r="J12" s="701" t="s">
        <v>23</v>
      </c>
      <c r="K12" s="700"/>
      <c r="L12" s="398" t="s">
        <v>24</v>
      </c>
    </row>
    <row r="13" outlineLevel="1" spans="3:12">
      <c r="C13" s="376" t="s">
        <v>25</v>
      </c>
      <c r="D13" s="401" t="s">
        <v>26</v>
      </c>
      <c r="E13" s="702" t="s">
        <v>27</v>
      </c>
      <c r="F13" s="702">
        <f>'Merger-Model'!$AC$83</f>
        <v>43465</v>
      </c>
      <c r="G13" s="702">
        <f>'Merger-Model'!$AD$83</f>
        <v>43830</v>
      </c>
      <c r="H13" s="702">
        <f>'Merger-Model'!$AC$83</f>
        <v>43465</v>
      </c>
      <c r="I13" s="702">
        <f>'Merger-Model'!$AD$83</f>
        <v>43830</v>
      </c>
      <c r="J13" s="702">
        <f>'Merger-Model'!$AC$83</f>
        <v>43465</v>
      </c>
      <c r="K13" s="702">
        <f>'Merger-Model'!$AD$83</f>
        <v>43830</v>
      </c>
      <c r="L13" s="401" t="s">
        <v>28</v>
      </c>
    </row>
    <row r="14" outlineLevel="1" spans="3:12">
      <c r="C14" s="25" t="s">
        <v>29</v>
      </c>
      <c r="D14" s="703">
        <f>Contrib.!G20</f>
        <v>0.766647804097065</v>
      </c>
      <c r="E14" s="703">
        <f>Contrib.!G27</f>
        <v>0.761477607459114</v>
      </c>
      <c r="F14" s="703">
        <f>Contrib.!G30</f>
        <v>0.76430253155793</v>
      </c>
      <c r="G14" s="703">
        <f>Contrib.!G31</f>
        <v>0.754094418386717</v>
      </c>
      <c r="H14" s="703">
        <f>Contrib.!G34</f>
        <v>0.752079579254974</v>
      </c>
      <c r="I14" s="703">
        <f>Contrib.!G35</f>
        <v>0.741322096081254</v>
      </c>
      <c r="J14" s="703">
        <f>Contrib.!G38</f>
        <v>0.735260947811855</v>
      </c>
      <c r="K14" s="703">
        <f>Contrib.!G39</f>
        <v>0.72489006507611</v>
      </c>
      <c r="L14" s="703">
        <f>Contrib.!G42</f>
        <v>0.763504015190719</v>
      </c>
    </row>
    <row r="15" outlineLevel="1" spans="3:12">
      <c r="C15" s="25" t="s">
        <v>30</v>
      </c>
      <c r="D15" s="703">
        <f>Contrib.!H20</f>
        <v>0.233352195902935</v>
      </c>
      <c r="E15" s="703">
        <f>Contrib.!H27</f>
        <v>0.238522392540886</v>
      </c>
      <c r="F15" s="703">
        <f>Contrib.!H30</f>
        <v>0.23569746844207</v>
      </c>
      <c r="G15" s="703">
        <f>Contrib.!H31</f>
        <v>0.245905581613283</v>
      </c>
      <c r="H15" s="703">
        <f>Contrib.!H34</f>
        <v>0.247920420745026</v>
      </c>
      <c r="I15" s="703">
        <f>Contrib.!H35</f>
        <v>0.258677903918746</v>
      </c>
      <c r="J15" s="703">
        <f>Contrib.!H38</f>
        <v>0.264739052188145</v>
      </c>
      <c r="K15" s="703">
        <f>Contrib.!H39</f>
        <v>0.27510993492389</v>
      </c>
      <c r="L15" s="703">
        <f>Contrib.!H42</f>
        <v>0.236495984809281</v>
      </c>
    </row>
    <row r="16" outlineLevel="1"/>
    <row r="17" outlineLevel="1" spans="3:12">
      <c r="C17" s="372" t="s">
        <v>31</v>
      </c>
      <c r="D17" s="704" t="s">
        <v>32</v>
      </c>
      <c r="E17" s="700"/>
      <c r="F17" s="700"/>
      <c r="G17" s="701" t="s">
        <v>33</v>
      </c>
      <c r="H17" s="700"/>
      <c r="I17" s="700"/>
      <c r="J17" s="701" t="s">
        <v>34</v>
      </c>
      <c r="K17" s="700"/>
      <c r="L17" s="725"/>
    </row>
    <row r="18" outlineLevel="1" spans="3:12">
      <c r="C18" s="376" t="s">
        <v>35</v>
      </c>
      <c r="D18" s="702">
        <f>'Value-Creation'!K22</f>
        <v>43100</v>
      </c>
      <c r="E18" s="702">
        <f>'Value-Creation'!L22</f>
        <v>43465</v>
      </c>
      <c r="F18" s="702">
        <f>'Value-Creation'!M22</f>
        <v>43830</v>
      </c>
      <c r="G18" s="702">
        <f>'Value-Creation'!N22</f>
        <v>43100</v>
      </c>
      <c r="H18" s="702">
        <f>'Value-Creation'!O22</f>
        <v>43465</v>
      </c>
      <c r="I18" s="702">
        <f>'Value-Creation'!P22</f>
        <v>43830</v>
      </c>
      <c r="J18" s="702">
        <f>'Value-Creation'!Q22</f>
        <v>43100</v>
      </c>
      <c r="K18" s="702">
        <f>'Value-Creation'!R22</f>
        <v>43465</v>
      </c>
      <c r="L18" s="702">
        <f>'Value-Creation'!S22</f>
        <v>43830</v>
      </c>
    </row>
    <row r="19" outlineLevel="1" spans="3:12">
      <c r="C19" s="25" t="str">
        <f>'Value-Creation'!B42</f>
        <v>Combined Entity - Implied Share Price:</v>
      </c>
      <c r="D19" s="410" t="e">
        <f>'Value-Creation'!K42</f>
        <v>#VALUE!</v>
      </c>
      <c r="E19" s="410" t="e">
        <f>'Value-Creation'!L42</f>
        <v>#VALUE!</v>
      </c>
      <c r="F19" s="410" t="e">
        <f>'Value-Creation'!M42</f>
        <v>#VALUE!</v>
      </c>
      <c r="G19" s="410" t="e">
        <f>'Value-Creation'!N42</f>
        <v>#VALUE!</v>
      </c>
      <c r="H19" s="410" t="e">
        <f>'Value-Creation'!O42</f>
        <v>#VALUE!</v>
      </c>
      <c r="I19" s="410" t="e">
        <f>'Value-Creation'!P42</f>
        <v>#VALUE!</v>
      </c>
      <c r="J19" s="410" t="e">
        <f>'Value-Creation'!Q42</f>
        <v>#VALUE!</v>
      </c>
      <c r="K19" s="410" t="e">
        <f>'Value-Creation'!R42</f>
        <v>#VALUE!</v>
      </c>
      <c r="L19" s="410" t="e">
        <f>'Value-Creation'!S42</f>
        <v>#VALUE!</v>
      </c>
    </row>
    <row r="20" outlineLevel="1" spans="3:12">
      <c r="C20" s="25" t="str">
        <f>'Value-Creation'!B43</f>
        <v>Buyer - Share Price Prior to Transaction:</v>
      </c>
      <c r="D20" s="411">
        <f>'Value-Creation'!K43</f>
        <v>118.02</v>
      </c>
      <c r="E20" s="411">
        <f>'Value-Creation'!L43</f>
        <v>118.02</v>
      </c>
      <c r="F20" s="411">
        <f>'Value-Creation'!M43</f>
        <v>118.02</v>
      </c>
      <c r="G20" s="411">
        <f>'Value-Creation'!N43</f>
        <v>118.02</v>
      </c>
      <c r="H20" s="411">
        <f>'Value-Creation'!O43</f>
        <v>118.02</v>
      </c>
      <c r="I20" s="411">
        <f>'Value-Creation'!P43</f>
        <v>118.02</v>
      </c>
      <c r="J20" s="411">
        <f>'Value-Creation'!Q43</f>
        <v>118.02</v>
      </c>
      <c r="K20" s="411">
        <f>'Value-Creation'!R43</f>
        <v>118.02</v>
      </c>
      <c r="L20" s="411">
        <f>'Value-Creation'!S43</f>
        <v>118.02</v>
      </c>
    </row>
    <row r="21" outlineLevel="1"/>
    <row r="22" outlineLevel="1" spans="3:9">
      <c r="C22" s="394" t="s">
        <v>36</v>
      </c>
      <c r="D22" s="26" t="str">
        <f>TEXT('Merger-Model'!E17,"0.0%")&amp;" Common Stock, "&amp;TEXT(Deal_Pct_Cash,"0.0%")&amp;" Cash"</f>
        <v>100.0% Common Stock, 0.0% Cash</v>
      </c>
      <c r="G22" s="394" t="s">
        <v>37</v>
      </c>
      <c r="I22" s="26" t="str">
        <f>TEXT(Annual_Cost_Synergies,"$0,0")&amp;" million ("&amp;TEXT(-Annual_Cost_Synergies/'DFT-Op-Model'!X44,"0.0%")&amp;" of Target's Annual Operating Expenses)"</f>
        <v>$18 million (5.2% of Target's Annual Operating Expenses)</v>
      </c>
    </row>
    <row r="23" outlineLevel="1" spans="3:9">
      <c r="C23" s="394"/>
      <c r="I23" s="25" t="str">
        <f>TEXT(Synergy_Year_1_Pct,"0.0%")&amp;" in Year 1, "&amp;TEXT(Synergy_Year_2_Pct,"0.0%")&amp;" in Year 2, and "&amp;TEXT(Synergy_Year_2_Pct,"0.0%")&amp;" Thereafter"</f>
        <v>50.0% in Year 1, 100.0% in Year 2, and 100.0% Thereafter</v>
      </c>
    </row>
    <row r="24" outlineLevel="1"/>
    <row r="25" outlineLevel="1" spans="3:9">
      <c r="C25" s="394" t="s">
        <v>38</v>
      </c>
      <c r="D25" s="26" t="str">
        <f>TEXT('Merger-Model'!J56,"$0,0")&amp;" million ("&amp;TEXT('Merger-Model'!J57,"0")&amp;"-Year Depreciation)"</f>
        <v>$167 million (39-Year Depreciation)</v>
      </c>
      <c r="G25" s="394" t="s">
        <v>39</v>
      </c>
      <c r="I25" s="26" t="str">
        <f>TEXT(Annual_Cost_Synergies*Merger_Integ_Pct,"$0,0")&amp;" Million (Pre-Tax), or "&amp;TEXT(Merger_Integ_Pct,"0.0%")&amp;" of Full Cost Synergies"</f>
        <v>$27 Million (Pre-Tax), or 150.0% of Full Cost Synergies</v>
      </c>
    </row>
    <row r="26" outlineLevel="1" spans="3:9">
      <c r="C26" s="394" t="s">
        <v>40</v>
      </c>
      <c r="D26" s="26" t="str">
        <f>TEXT('Merger-Model'!J62,"$0,0")&amp;" million ("&amp;TEXT('Merger-Model'!J59,"0.0%")&amp;" Adjustment)"</f>
        <v>$124 million (20.0% Adjustment)</v>
      </c>
      <c r="I26" s="25" t="s">
        <v>41</v>
      </c>
    </row>
    <row r="27" outlineLevel="1"/>
    <row r="28" outlineLevel="1" spans="3:9">
      <c r="C28" s="394" t="s">
        <v>42</v>
      </c>
      <c r="D28" s="26" t="str">
        <f>TEXT('Merger-Model'!P66,"$0,0")&amp;" million ("&amp;TEXT('Merger-Model'!P67,"0")&amp;"-Year Amortization)"</f>
        <v>$1,590 million (14-Year Amortization)</v>
      </c>
      <c r="G28" s="394" t="s">
        <v>43</v>
      </c>
      <c r="I28" s="26" t="str">
        <f>TEXT('Merger-Model'!J75,"$0,0")&amp;" million ("&amp;TEXT('Merger-Model'!J76,"0")&amp;"-Year Amortization)"</f>
        <v>$161 million (4-Year Amortization)</v>
      </c>
    </row>
    <row r="29" outlineLevel="1" spans="6:9">
      <c r="F29" s="25"/>
      <c r="I29" s="25"/>
    </row>
    <row r="30" outlineLevel="1" spans="3:9">
      <c r="C30" s="373"/>
      <c r="D30" s="398" t="str">
        <f>+'Merger-Model'!J22</f>
        <v>Current</v>
      </c>
      <c r="E30" s="398" t="str">
        <f>+'Merger-Model'!K22</f>
        <v>Offer</v>
      </c>
      <c r="G30" s="394" t="s">
        <v>44</v>
      </c>
      <c r="I30" s="26" t="str">
        <f>TEXT(-'Merger-Model'!P75,"$0,0")&amp;" million ("&amp;TEXT('Merger-Model'!P76,"0")&amp;"-Year Amortization)"</f>
        <v>$184 million (12-Year Amortization)</v>
      </c>
    </row>
    <row r="31" outlineLevel="1" spans="3:5">
      <c r="C31" s="12" t="str">
        <f>+'Merger-Model'!G23</f>
        <v>Valuation Multiples:</v>
      </c>
      <c r="D31" s="401" t="str">
        <f>+'Merger-Model'!J23</f>
        <v>Price:</v>
      </c>
      <c r="E31" s="401" t="str">
        <f>+'Merger-Model'!K23</f>
        <v>Price:</v>
      </c>
    </row>
    <row r="32" outlineLevel="1" spans="3:12">
      <c r="C32" s="25" t="str">
        <f>'Merger-Model'!G24</f>
        <v>2017-12-31 EV / EBITDA:</v>
      </c>
      <c r="D32" s="705">
        <f>'Merger-Model'!J24</f>
        <v>18.4701471713877</v>
      </c>
      <c r="E32" s="705">
        <f>'Merger-Model'!K24</f>
        <v>20.7032562656151</v>
      </c>
      <c r="G32" s="373"/>
      <c r="H32" s="373"/>
      <c r="I32" s="373"/>
      <c r="J32" s="373"/>
      <c r="K32" s="398" t="str">
        <f>+'Merger-Model'!L7</f>
        <v>Pre-Tax </v>
      </c>
      <c r="L32" s="398" t="str">
        <f>+'Merger-Model'!M7</f>
        <v>After-Tax </v>
      </c>
    </row>
    <row r="33" outlineLevel="1" spans="3:12">
      <c r="C33" s="25" t="str">
        <f>'Merger-Model'!G25</f>
        <v>2017-12-31 P / FFO:</v>
      </c>
      <c r="D33" s="705">
        <f>'Merger-Model'!J25</f>
        <v>17.4857022474046</v>
      </c>
      <c r="E33" s="705">
        <f>'Merger-Model'!K25</f>
        <v>20.2567334209212</v>
      </c>
      <c r="G33" s="12" t="str">
        <f>+'Merger-Model'!G8</f>
        <v>Acquisition Funding:</v>
      </c>
      <c r="H33" s="12"/>
      <c r="I33" s="401" t="str">
        <f>+'Merger-Model'!J8</f>
        <v>%:</v>
      </c>
      <c r="J33" s="377" t="str">
        <f>+'Merger-Model'!K8</f>
        <v>Amount:</v>
      </c>
      <c r="K33" s="726" t="str">
        <f>+'Merger-Model'!L8</f>
        <v>Cost:</v>
      </c>
      <c r="L33" s="726" t="str">
        <f>+'Merger-Model'!M8</f>
        <v>Cost:</v>
      </c>
    </row>
    <row r="34" ht="15.75" outlineLevel="1" spans="2:12">
      <c r="B34" s="394"/>
      <c r="C34" s="25" t="str">
        <f>'Merger-Model'!G26</f>
        <v>2017-12-31 P / AFFO:</v>
      </c>
      <c r="D34" s="705">
        <f>'Merger-Model'!J26</f>
        <v>17.7803066737553</v>
      </c>
      <c r="E34" s="705">
        <f>'Merger-Model'!K26</f>
        <v>20.5980250227553</v>
      </c>
      <c r="G34" s="25" t="str">
        <f>'Merger-Model'!G9</f>
        <v>Senior Notes:</v>
      </c>
      <c r="I34" s="727">
        <f>'Merger-Model'!J9</f>
        <v>0</v>
      </c>
      <c r="J34" s="380">
        <f>'Merger-Model'!K9</f>
        <v>0</v>
      </c>
      <c r="K34" s="708">
        <f>'Merger-Model'!L9</f>
        <v>0.037</v>
      </c>
      <c r="L34" s="708">
        <f>'Merger-Model'!M9</f>
        <v>0.0359600860767983</v>
      </c>
    </row>
    <row r="35" ht="15.75" outlineLevel="1" spans="3:12">
      <c r="C35" s="25"/>
      <c r="D35" s="706"/>
      <c r="E35" s="706"/>
      <c r="G35" s="25" t="str">
        <f>'Merger-Model'!G10</f>
        <v>Common Equity:</v>
      </c>
      <c r="I35" s="727">
        <f>'Merger-Model'!J10</f>
        <v>1</v>
      </c>
      <c r="J35" s="384">
        <f>'Merger-Model'!K10</f>
        <v>5831.186380233</v>
      </c>
      <c r="K35" s="708"/>
      <c r="L35" s="708">
        <f>'Merger-Model'!M10</f>
        <v>0.0123924529772042</v>
      </c>
    </row>
    <row r="36" ht="15.75" outlineLevel="1" spans="3:12">
      <c r="C36" s="25" t="str">
        <f>'Merger-Model'!G28</f>
        <v>2018-12-31 EV / EBITDA:</v>
      </c>
      <c r="D36" s="705">
        <f>'Merger-Model'!J28</f>
        <v>15.4655911306658</v>
      </c>
      <c r="E36" s="705">
        <f>'Merger-Model'!K28</f>
        <v>17.335438288949</v>
      </c>
      <c r="G36" s="25" t="str">
        <f>'Merger-Model'!G11</f>
        <v>New Shares Issued (Millions):</v>
      </c>
      <c r="I36" s="727"/>
      <c r="J36" s="728">
        <f>'Merger-Model'!K11</f>
        <v>49.408459415633</v>
      </c>
      <c r="K36" s="708"/>
      <c r="L36" s="708"/>
    </row>
    <row r="37" outlineLevel="1" spans="3:12">
      <c r="C37" s="25" t="str">
        <f>'Merger-Model'!G29</f>
        <v>2018-12-31 P / FFO:</v>
      </c>
      <c r="D37" s="705">
        <f>'Merger-Model'!J29</f>
        <v>14.5965303619337</v>
      </c>
      <c r="E37" s="705">
        <f>'Merger-Model'!K29</f>
        <v>16.9097025803445</v>
      </c>
      <c r="G37" s="707" t="str">
        <f>'Merger-Model'!G12</f>
        <v>Weighted Average Acquisition Cost:</v>
      </c>
      <c r="H37" s="708"/>
      <c r="L37" s="708">
        <f>'Merger-Model'!M12</f>
        <v>0.0123924529772042</v>
      </c>
    </row>
    <row r="38" outlineLevel="1" spans="3:12">
      <c r="C38" s="25" t="str">
        <f>'Merger-Model'!G30</f>
        <v>2018-12-31 P / AFFO:</v>
      </c>
      <c r="D38" s="705">
        <f>'Merger-Model'!J30</f>
        <v>14.9556822339399</v>
      </c>
      <c r="E38" s="705">
        <f>'Merger-Model'!K30</f>
        <v>17.3257707271034</v>
      </c>
      <c r="G38" s="707" t="str">
        <f>'Merger-Model'!G13</f>
        <v>Target's "Yield":</v>
      </c>
      <c r="H38" s="708"/>
      <c r="L38" s="708">
        <f>'Merger-Model'!M13</f>
        <v>0.0301487669892548</v>
      </c>
    </row>
    <row r="39" ht="15.75" spans="3:8">
      <c r="C39" s="25"/>
      <c r="F39" s="709"/>
      <c r="G39" s="710"/>
      <c r="H39" s="708"/>
    </row>
    <row r="40" spans="2:12">
      <c r="B40" s="711"/>
      <c r="C40" s="711"/>
      <c r="D40" s="711"/>
      <c r="E40" s="712" t="s">
        <v>45</v>
      </c>
      <c r="F40" s="713" t="s">
        <v>46</v>
      </c>
      <c r="G40" s="713"/>
      <c r="H40" s="713"/>
      <c r="I40" s="729"/>
      <c r="J40" s="729"/>
      <c r="K40" s="730"/>
      <c r="L40" s="730"/>
    </row>
    <row r="41" spans="2:10">
      <c r="B41" s="714" t="s">
        <v>47</v>
      </c>
      <c r="C41" s="714"/>
      <c r="D41" s="715" t="str">
        <f>+'Merger-Model'!$D$5</f>
        <v>Units:</v>
      </c>
      <c r="E41" s="60">
        <f>Buyer_Hist_Year</f>
        <v>42735</v>
      </c>
      <c r="F41" s="61">
        <f>EOMONTH(E41,Months)</f>
        <v>43100</v>
      </c>
      <c r="G41" s="716">
        <f>EOMONTH(F41,Months)</f>
        <v>43465</v>
      </c>
      <c r="H41" s="716">
        <f>EOMONTH(G41,Months)</f>
        <v>43830</v>
      </c>
      <c r="I41" s="464"/>
      <c r="J41" s="464"/>
    </row>
    <row r="42" ht="15.75" outlineLevel="1" spans="3:10">
      <c r="C42" s="717" t="s">
        <v>21</v>
      </c>
      <c r="D42" s="718"/>
      <c r="E42" s="719"/>
      <c r="F42" s="719"/>
      <c r="G42" s="719"/>
      <c r="H42" s="719"/>
      <c r="I42" s="33"/>
      <c r="J42" s="33"/>
    </row>
    <row r="43" outlineLevel="1" spans="3:10">
      <c r="C43" s="25" t="s">
        <v>29</v>
      </c>
      <c r="D43" s="181" t="s">
        <v>48</v>
      </c>
      <c r="E43" s="380">
        <f>'DLR-Op-Model'!W231</f>
        <v>1196.824</v>
      </c>
      <c r="F43" s="380">
        <f>'DLR-Op-Model'!X231</f>
        <v>1244.60337141382</v>
      </c>
      <c r="G43" s="380">
        <f>'DLR-Op-Model'!Y231</f>
        <v>1383.35356320562</v>
      </c>
      <c r="H43" s="380">
        <f>'DLR-Op-Model'!Z231</f>
        <v>1553.35316118881</v>
      </c>
      <c r="I43" s="731"/>
      <c r="J43" s="731"/>
    </row>
    <row r="44" outlineLevel="1" spans="3:10">
      <c r="C44" s="25" t="s">
        <v>30</v>
      </c>
      <c r="D44" s="181" t="s">
        <v>48</v>
      </c>
      <c r="E44" s="384">
        <f>'DFT-Op-Model'!W220</f>
        <v>319.633</v>
      </c>
      <c r="F44" s="384">
        <f>'DFT-Op-Model'!X220</f>
        <v>357.206194298793</v>
      </c>
      <c r="G44" s="384">
        <f>'DFT-Op-Model'!Y220</f>
        <v>426.601927044865</v>
      </c>
      <c r="H44" s="384">
        <f>'DFT-Op-Model'!Z220</f>
        <v>506.538973422132</v>
      </c>
      <c r="I44" s="731"/>
      <c r="J44" s="731"/>
    </row>
    <row r="45" outlineLevel="1" spans="3:10">
      <c r="C45" s="25" t="s">
        <v>49</v>
      </c>
      <c r="D45" s="181" t="s">
        <v>48</v>
      </c>
      <c r="E45" s="720"/>
      <c r="F45" s="384">
        <f>'Merger-Model'!AB266</f>
        <v>1338.21292635722</v>
      </c>
      <c r="G45" s="384">
        <f>'Merger-Model'!AC266</f>
        <v>1800.95549025048</v>
      </c>
      <c r="H45" s="384">
        <f>'Merger-Model'!AD266</f>
        <v>2077.89213461094</v>
      </c>
      <c r="I45" s="731"/>
      <c r="J45" s="731"/>
    </row>
    <row r="46" outlineLevel="1" spans="6:10">
      <c r="F46" s="405"/>
      <c r="G46" s="405"/>
      <c r="H46" s="405"/>
      <c r="I46" s="33"/>
      <c r="J46" s="33"/>
    </row>
    <row r="47" ht="15.75" outlineLevel="1" spans="3:10">
      <c r="C47" s="12" t="s">
        <v>50</v>
      </c>
      <c r="D47" s="721"/>
      <c r="E47" s="722"/>
      <c r="F47" s="722"/>
      <c r="G47" s="722"/>
      <c r="H47" s="722"/>
      <c r="I47" s="33"/>
      <c r="J47" s="33"/>
    </row>
    <row r="48" outlineLevel="1" spans="3:10">
      <c r="C48" s="25" t="str">
        <f>+$C$43</f>
        <v>Acquirer:</v>
      </c>
      <c r="D48" s="181" t="s">
        <v>48</v>
      </c>
      <c r="E48" s="380">
        <f>'DLR-Op-Model'!W206</f>
        <v>867.662</v>
      </c>
      <c r="F48" s="380">
        <f>'DLR-Op-Model'!X206</f>
        <v>942.326590513866</v>
      </c>
      <c r="G48" s="380">
        <f>'DLR-Op-Model'!Y206</f>
        <v>1046.0981891266</v>
      </c>
      <c r="H48" s="380">
        <f>'DLR-Op-Model'!Z206</f>
        <v>1179.29331908665</v>
      </c>
      <c r="I48" s="732"/>
      <c r="J48" s="732"/>
    </row>
    <row r="49" outlineLevel="1" spans="3:10">
      <c r="C49" s="25" t="str">
        <f>+$C$44</f>
        <v>Target:</v>
      </c>
      <c r="D49" s="181" t="s">
        <v>48</v>
      </c>
      <c r="E49" s="384">
        <f>'DFT-Op-Model'!W195</f>
        <v>232.363</v>
      </c>
      <c r="F49" s="384">
        <f>'DFT-Op-Model'!X195</f>
        <v>287.864102225412</v>
      </c>
      <c r="G49" s="384">
        <f>'DFT-Op-Model'!Y195</f>
        <v>344.842634134266</v>
      </c>
      <c r="H49" s="384">
        <f>'DFT-Op-Model'!Z195</f>
        <v>411.504156559336</v>
      </c>
      <c r="I49" s="732"/>
      <c r="J49" s="732"/>
    </row>
    <row r="50" outlineLevel="1" spans="3:10">
      <c r="C50" s="25" t="str">
        <f>+$C$45</f>
        <v>Combined:</v>
      </c>
      <c r="D50" s="181" t="s">
        <v>48</v>
      </c>
      <c r="E50" s="720"/>
      <c r="F50" s="384">
        <f>'Merger-Model'!AB242</f>
        <v>983.140228737194</v>
      </c>
      <c r="G50" s="384">
        <f>'Merger-Model'!AC242</f>
        <v>1245.18475908814</v>
      </c>
      <c r="H50" s="384">
        <f>'Merger-Model'!AD242</f>
        <v>1470.18548872545</v>
      </c>
      <c r="I50" s="732"/>
      <c r="J50" s="732"/>
    </row>
    <row r="51" outlineLevel="1" spans="6:10">
      <c r="F51" s="405"/>
      <c r="G51" s="405"/>
      <c r="H51" s="405"/>
      <c r="I51" s="33"/>
      <c r="J51" s="33"/>
    </row>
    <row r="52" ht="15.75" outlineLevel="1" spans="3:10">
      <c r="C52" s="12" t="s">
        <v>51</v>
      </c>
      <c r="D52" s="721"/>
      <c r="E52" s="722"/>
      <c r="F52" s="722"/>
      <c r="G52" s="722"/>
      <c r="H52" s="722"/>
      <c r="I52" s="33"/>
      <c r="J52" s="33"/>
    </row>
    <row r="53" outlineLevel="1" spans="3:10">
      <c r="C53" s="25" t="str">
        <f>+$C$43</f>
        <v>Acquirer:</v>
      </c>
      <c r="D53" s="181" t="s">
        <v>48</v>
      </c>
      <c r="E53" s="380">
        <f>'DLR-Op-Model'!W214</f>
        <v>774.188</v>
      </c>
      <c r="F53" s="380">
        <f>'DLR-Op-Model'!X214</f>
        <v>841.885992405509</v>
      </c>
      <c r="G53" s="380">
        <f>'DLR-Op-Model'!Y214</f>
        <v>934.733590757311</v>
      </c>
      <c r="H53" s="380">
        <f>'DLR-Op-Model'!Z214</f>
        <v>1054.50366085261</v>
      </c>
      <c r="I53" s="731"/>
      <c r="J53" s="731"/>
    </row>
    <row r="54" outlineLevel="1" spans="3:10">
      <c r="C54" s="25" t="str">
        <f>+$C$44</f>
        <v>Target:</v>
      </c>
      <c r="D54" s="181" t="s">
        <v>48</v>
      </c>
      <c r="E54" s="384">
        <f>'DFT-Op-Model'!W203</f>
        <v>223.937</v>
      </c>
      <c r="F54" s="384">
        <f>'DFT-Op-Model'!X203</f>
        <v>283.094441034571</v>
      </c>
      <c r="G54" s="384">
        <f>'DFT-Op-Model'!Y203</f>
        <v>336.561442032189</v>
      </c>
      <c r="H54" s="384">
        <f>'DFT-Op-Model'!Z203</f>
        <v>400.204731021806</v>
      </c>
      <c r="I54" s="731"/>
      <c r="J54" s="731"/>
    </row>
    <row r="55" outlineLevel="1" spans="3:10">
      <c r="C55" s="25" t="str">
        <f>+$C$45</f>
        <v>Combined:</v>
      </c>
      <c r="D55" s="181" t="s">
        <v>48</v>
      </c>
      <c r="E55" s="720"/>
      <c r="F55" s="384">
        <f>'Merger-Model'!AB254</f>
        <v>915.812479720012</v>
      </c>
      <c r="G55" s="384">
        <f>'Merger-Model'!AC254</f>
        <v>1262.152572575</v>
      </c>
      <c r="H55" s="384">
        <f>'Merger-Model'!AD254</f>
        <v>1471.9547393094</v>
      </c>
      <c r="I55" s="731"/>
      <c r="J55" s="731"/>
    </row>
    <row r="56" outlineLevel="1" spans="6:10">
      <c r="F56" s="405"/>
      <c r="G56" s="405"/>
      <c r="H56" s="405"/>
      <c r="I56" s="33"/>
      <c r="J56" s="33"/>
    </row>
    <row r="57" ht="15.75" outlineLevel="1" spans="3:10">
      <c r="C57" s="12" t="s">
        <v>52</v>
      </c>
      <c r="D57" s="721"/>
      <c r="E57" s="722"/>
      <c r="F57" s="722"/>
      <c r="G57" s="722"/>
      <c r="H57" s="722"/>
      <c r="I57" s="33"/>
      <c r="J57" s="33"/>
    </row>
    <row r="58" outlineLevel="1" spans="3:10">
      <c r="C58" s="25" t="str">
        <f>+$C$43</f>
        <v>Acquirer:</v>
      </c>
      <c r="D58" s="181" t="s">
        <v>48</v>
      </c>
      <c r="E58" s="380">
        <f>'DLR-Op-Model'!W113</f>
        <v>11558.469</v>
      </c>
      <c r="F58" s="380">
        <f>'DLR-Op-Model'!X113</f>
        <v>12453.9861011971</v>
      </c>
      <c r="G58" s="380">
        <f>'DLR-Op-Model'!Y113</f>
        <v>13315.7783616308</v>
      </c>
      <c r="H58" s="380">
        <f>'DLR-Op-Model'!Z113</f>
        <v>14272.4882547655</v>
      </c>
      <c r="I58" s="731"/>
      <c r="J58" s="731"/>
    </row>
    <row r="59" outlineLevel="1" spans="3:10">
      <c r="C59" s="25" t="str">
        <f>+$C$44</f>
        <v>Target:</v>
      </c>
      <c r="D59" s="181" t="s">
        <v>48</v>
      </c>
      <c r="E59" s="384">
        <f>'DFT-Op-Model'!W108</f>
        <v>3455.234</v>
      </c>
      <c r="F59" s="384">
        <f>'DFT-Op-Model'!X108</f>
        <v>3890.9737179212</v>
      </c>
      <c r="G59" s="384">
        <f>'DFT-Op-Model'!Y108</f>
        <v>4279.2454699389</v>
      </c>
      <c r="H59" s="384">
        <f>'DFT-Op-Model'!Z108</f>
        <v>4704.48271956986</v>
      </c>
      <c r="I59" s="731"/>
      <c r="J59" s="731"/>
    </row>
    <row r="60" outlineLevel="1" spans="3:10">
      <c r="C60" s="25" t="str">
        <f>+$C$45</f>
        <v>Combined:</v>
      </c>
      <c r="D60" s="181" t="s">
        <v>48</v>
      </c>
      <c r="E60" s="720"/>
      <c r="F60" s="384">
        <f>'Merger-Model'!AB160</f>
        <v>16636.3846581747</v>
      </c>
      <c r="G60" s="384">
        <f>'Merger-Model'!AC160</f>
        <v>17886.4486706261</v>
      </c>
      <c r="H60" s="384">
        <f>'Merger-Model'!AD160</f>
        <v>19268.3958133917</v>
      </c>
      <c r="I60" s="731"/>
      <c r="J60" s="731"/>
    </row>
    <row r="61" outlineLevel="1" spans="3:10">
      <c r="C61" s="394"/>
      <c r="E61" s="723"/>
      <c r="F61" s="723"/>
      <c r="G61" s="723"/>
      <c r="H61" s="723"/>
      <c r="I61" s="33"/>
      <c r="J61" s="33"/>
    </row>
    <row r="62" ht="15.75" outlineLevel="1" spans="3:10">
      <c r="C62" s="12" t="s">
        <v>53</v>
      </c>
      <c r="D62" s="721"/>
      <c r="E62" s="722"/>
      <c r="F62" s="722"/>
      <c r="G62" s="722"/>
      <c r="H62" s="722"/>
      <c r="I62" s="33"/>
      <c r="J62" s="33"/>
    </row>
    <row r="63" outlineLevel="1" spans="3:10">
      <c r="C63" s="25" t="str">
        <f>+'Merger-Model'!C88</f>
        <v>(-) Amortization of Acquired Above-Market Leases:</v>
      </c>
      <c r="D63" s="724" t="s">
        <v>48</v>
      </c>
      <c r="E63" s="27"/>
      <c r="F63" s="27">
        <f>'Merger-Model'!AB88</f>
        <v>-10.078033591125</v>
      </c>
      <c r="G63" s="27">
        <f>'Merger-Model'!AC88</f>
        <v>-40.3121343645</v>
      </c>
      <c r="H63" s="27">
        <f>'Merger-Model'!AD88</f>
        <v>-40.3121343645</v>
      </c>
      <c r="I63" s="27"/>
      <c r="J63" s="27"/>
    </row>
    <row r="64" outlineLevel="1" spans="3:10">
      <c r="C64" s="25" t="str">
        <f>+'Merger-Model'!C89</f>
        <v>(+) Amortization of Acquired Below-Market Leases:</v>
      </c>
      <c r="D64" s="724" t="s">
        <v>48</v>
      </c>
      <c r="E64" s="27"/>
      <c r="F64" s="27">
        <f>'Merger-Model'!AB89</f>
        <v>3.83925089185714</v>
      </c>
      <c r="G64" s="27">
        <f>'Merger-Model'!AC89</f>
        <v>15.3570035674286</v>
      </c>
      <c r="H64" s="27">
        <f>'Merger-Model'!AD89</f>
        <v>15.3570035674286</v>
      </c>
      <c r="I64" s="27"/>
      <c r="J64" s="27"/>
    </row>
    <row r="65" outlineLevel="1" spans="3:10">
      <c r="C65" s="25" t="str">
        <f>+'Merger-Model'!C100</f>
        <v>(+) Annual Cost Synergies:</v>
      </c>
      <c r="D65" s="724" t="s">
        <v>48</v>
      </c>
      <c r="E65" s="27"/>
      <c r="F65" s="27">
        <f>'Merger-Model'!AB100</f>
        <v>2.25</v>
      </c>
      <c r="G65" s="27">
        <f>'Merger-Model'!AC100</f>
        <v>11.25</v>
      </c>
      <c r="H65" s="27">
        <f>'Merger-Model'!AD100</f>
        <v>18</v>
      </c>
      <c r="I65" s="27"/>
      <c r="J65" s="27"/>
    </row>
    <row r="66" outlineLevel="1" spans="3:10">
      <c r="C66" s="25" t="str">
        <f>+'Merger-Model'!C101</f>
        <v>(-) Restructuring and Merger Integration Costs:</v>
      </c>
      <c r="D66" s="724" t="s">
        <v>48</v>
      </c>
      <c r="E66" s="27"/>
      <c r="F66" s="27">
        <f>'Merger-Model'!AB101</f>
        <v>-6.75</v>
      </c>
      <c r="G66" s="27">
        <f>'Merger-Model'!AC101</f>
        <v>-20.25</v>
      </c>
      <c r="H66" s="27">
        <f>'Merger-Model'!AD101</f>
        <v>0</v>
      </c>
      <c r="I66" s="27"/>
      <c r="J66" s="27"/>
    </row>
    <row r="67" outlineLevel="1" spans="3:10">
      <c r="C67" s="25" t="str">
        <f>+'Merger-Model'!C102</f>
        <v>(-) Amortization of Acquired In-Place Lease Value:</v>
      </c>
      <c r="D67" s="724" t="s">
        <v>48</v>
      </c>
      <c r="E67" s="27"/>
      <c r="F67" s="27">
        <f>'Merger-Model'!AB102</f>
        <v>-28.3904411489766</v>
      </c>
      <c r="G67" s="27">
        <f>'Merger-Model'!AC102</f>
        <v>-113.561764595907</v>
      </c>
      <c r="H67" s="27">
        <f>'Merger-Model'!AD102</f>
        <v>-113.561764595907</v>
      </c>
      <c r="I67" s="27"/>
      <c r="J67" s="27"/>
    </row>
    <row r="68" outlineLevel="1" spans="3:10">
      <c r="C68" s="25" t="str">
        <f>+'Merger-Model'!C103</f>
        <v>(-) Depreciation of Real Estate Asset Write-Ups:</v>
      </c>
      <c r="D68" s="724" t="s">
        <v>48</v>
      </c>
      <c r="E68" s="27"/>
      <c r="F68" s="27">
        <f>'Merger-Model'!AB103</f>
        <v>-1.07099768625884</v>
      </c>
      <c r="G68" s="27">
        <f>'Merger-Model'!AC103</f>
        <v>-4.28399074503537</v>
      </c>
      <c r="H68" s="27">
        <f>'Merger-Model'!AD103</f>
        <v>-4.28399074503537</v>
      </c>
      <c r="I68" s="27"/>
      <c r="J68" s="27"/>
    </row>
    <row r="69" outlineLevel="1" spans="3:10">
      <c r="C69" s="25" t="str">
        <f>+'Merger-Model'!C114</f>
        <v>(+/-) Change in Target's Interest from Refinancing:</v>
      </c>
      <c r="D69" s="724" t="s">
        <v>48</v>
      </c>
      <c r="E69" s="27"/>
      <c r="F69" s="27">
        <f>'Merger-Model'!AB114</f>
        <v>1.7519711311668</v>
      </c>
      <c r="G69" s="27">
        <f>'Merger-Model'!AC114</f>
        <v>7.00788452466718</v>
      </c>
      <c r="H69" s="27">
        <f>'Merger-Model'!AD114</f>
        <v>7.00788452466718</v>
      </c>
      <c r="I69" s="27"/>
      <c r="J69" s="27"/>
    </row>
    <row r="70" outlineLevel="1" spans="3:10">
      <c r="C70" s="25" t="str">
        <f>+'Merger-Model'!C115</f>
        <v>(-) Interest Expense on Transaction Debt:</v>
      </c>
      <c r="D70" s="733" t="s">
        <v>48</v>
      </c>
      <c r="E70" s="27"/>
      <c r="F70" s="27">
        <f>'Merger-Model'!AB115</f>
        <v>-1.5890293441042</v>
      </c>
      <c r="G70" s="27">
        <f>'Merger-Model'!AC115</f>
        <v>-6.35611737641681</v>
      </c>
      <c r="H70" s="27">
        <f>'Merger-Model'!AD115</f>
        <v>-6.35611737641681</v>
      </c>
      <c r="I70" s="27"/>
      <c r="J70" s="27"/>
    </row>
    <row r="71" outlineLevel="1" spans="3:10">
      <c r="C71" s="432" t="s">
        <v>54</v>
      </c>
      <c r="D71" s="724" t="s">
        <v>48</v>
      </c>
      <c r="E71" s="452"/>
      <c r="F71" s="452">
        <f t="shared" ref="F71:H71" si="0">SUM(F63:F70)</f>
        <v>-40.0372797474407</v>
      </c>
      <c r="G71" s="452">
        <f t="shared" si="0"/>
        <v>-151.149118989763</v>
      </c>
      <c r="H71" s="452">
        <f t="shared" si="0"/>
        <v>-124.149118989763</v>
      </c>
      <c r="I71" s="90"/>
      <c r="J71" s="90"/>
    </row>
    <row r="72" outlineLevel="1" spans="9:10">
      <c r="I72" s="33"/>
      <c r="J72" s="33"/>
    </row>
    <row r="73" outlineLevel="1" spans="3:10">
      <c r="C73" s="26" t="str">
        <f>+'Merger-Model'!C124</f>
        <v>(+/-) Change in Pref. Dividends from Refinancing:</v>
      </c>
      <c r="D73" s="724" t="s">
        <v>48</v>
      </c>
      <c r="F73" s="27">
        <f>'Merger-Model'!AB124</f>
        <v>0.69159375</v>
      </c>
      <c r="G73" s="27">
        <f>'Merger-Model'!AC124</f>
        <v>2.766375</v>
      </c>
      <c r="H73" s="27">
        <f>'Merger-Model'!AD124</f>
        <v>2.766375</v>
      </c>
      <c r="I73" s="33"/>
      <c r="J73" s="33"/>
    </row>
    <row r="74" outlineLevel="1" spans="9:10">
      <c r="I74" s="33"/>
      <c r="J74" s="33"/>
    </row>
    <row r="75" ht="15.75" outlineLevel="1" spans="3:10">
      <c r="C75" s="12" t="s">
        <v>55</v>
      </c>
      <c r="D75" s="721"/>
      <c r="E75" s="722"/>
      <c r="F75" s="722"/>
      <c r="G75" s="722"/>
      <c r="H75" s="722"/>
      <c r="I75" s="33"/>
      <c r="J75" s="33"/>
    </row>
    <row r="76" outlineLevel="1" spans="3:10">
      <c r="C76" s="25" t="str">
        <f>'Merger-Model'!C136</f>
        <v>EPS Accretion / (Dilution) - %:</v>
      </c>
      <c r="D76" s="63" t="s">
        <v>56</v>
      </c>
      <c r="E76" s="720"/>
      <c r="F76" s="720">
        <f>'Merger-Model'!AB136</f>
        <v>-0.228789547572027</v>
      </c>
      <c r="G76" s="720">
        <f>'Merger-Model'!AC136</f>
        <v>-0.15241176976906</v>
      </c>
      <c r="H76" s="720">
        <f>'Merger-Model'!AD136</f>
        <v>0.03478753166584</v>
      </c>
      <c r="I76" s="731"/>
      <c r="J76" s="731"/>
    </row>
    <row r="77" outlineLevel="1" spans="3:10">
      <c r="C77" s="25" t="str">
        <f>'Merger-Model'!C146</f>
        <v>FFO PS Accretion / (Dilution) - %:</v>
      </c>
      <c r="D77" s="63" t="s">
        <v>56</v>
      </c>
      <c r="E77" s="720"/>
      <c r="F77" s="720">
        <f>'Merger-Model'!AB146</f>
        <v>-0.199644179278546</v>
      </c>
      <c r="G77" s="720">
        <f>'Merger-Model'!AC146</f>
        <v>-0.0870011926602063</v>
      </c>
      <c r="H77" s="720">
        <f>'Merger-Model'!AD146</f>
        <v>-0.0440844538970045</v>
      </c>
      <c r="I77" s="731"/>
      <c r="J77" s="731"/>
    </row>
    <row r="78" outlineLevel="1" spans="3:10">
      <c r="C78" s="25" t="str">
        <f>'Merger-Model'!C152</f>
        <v>AFFO PS Accretion / (Dilution) - %:</v>
      </c>
      <c r="D78" s="63" t="s">
        <v>56</v>
      </c>
      <c r="E78" s="720"/>
      <c r="F78" s="720">
        <f>'Merger-Model'!AB152</f>
        <v>-0.165507648632431</v>
      </c>
      <c r="G78" s="720">
        <f>'Merger-Model'!AC152</f>
        <v>0.0356973645879278</v>
      </c>
      <c r="H78" s="720">
        <f>'Merger-Model'!AD152</f>
        <v>0.070324817414582</v>
      </c>
      <c r="I78" s="731"/>
      <c r="J78" s="731"/>
    </row>
    <row r="79" outlineLevel="1" spans="9:10">
      <c r="I79" s="33"/>
      <c r="J79" s="33"/>
    </row>
    <row r="80" ht="15.75" outlineLevel="1" spans="3:10">
      <c r="C80" s="12" t="s">
        <v>57</v>
      </c>
      <c r="D80" s="721"/>
      <c r="E80" s="722"/>
      <c r="F80" s="722"/>
      <c r="G80" s="722"/>
      <c r="H80" s="722"/>
      <c r="I80" s="33"/>
      <c r="J80" s="33"/>
    </row>
    <row r="81" ht="15.75" outlineLevel="1" spans="3:10">
      <c r="C81" s="25" t="str">
        <f>+'Merger-Model'!C278</f>
        <v>EBITDA / Net Interest:</v>
      </c>
      <c r="D81" s="63" t="s">
        <v>58</v>
      </c>
      <c r="E81" s="734"/>
      <c r="F81" s="734">
        <f>'Merger-Model'!AB278</f>
        <v>5.20990457757998</v>
      </c>
      <c r="G81" s="734">
        <f>'Merger-Model'!AC278</f>
        <v>5.25490551338347</v>
      </c>
      <c r="H81" s="734">
        <f>'Merger-Model'!AD278</f>
        <v>5.30669188260323</v>
      </c>
      <c r="I81" s="731"/>
      <c r="J81" s="731"/>
    </row>
    <row r="82" ht="15.75" outlineLevel="1" spans="3:10">
      <c r="C82" s="25" t="str">
        <f>+'DLR-Op-Model'!C250</f>
        <v>EBITDA / Fixed Charges:</v>
      </c>
      <c r="D82" s="63" t="s">
        <v>58</v>
      </c>
      <c r="E82" s="734"/>
      <c r="F82" s="734">
        <f>'Merger-Model'!AB281</f>
        <v>4.05427845420273</v>
      </c>
      <c r="G82" s="734">
        <f>'Merger-Model'!AC281</f>
        <v>4.24561594207494</v>
      </c>
      <c r="H82" s="734">
        <f>'Merger-Model'!AD281</f>
        <v>4.39269437818097</v>
      </c>
      <c r="I82" s="731"/>
      <c r="J82" s="731"/>
    </row>
    <row r="83" ht="15.75" outlineLevel="1" spans="3:10">
      <c r="C83" s="25" t="str">
        <f>+'Merger-Model'!C284</f>
        <v>Debt / EBITDA:</v>
      </c>
      <c r="D83" s="63" t="s">
        <v>58</v>
      </c>
      <c r="E83" s="734"/>
      <c r="F83" s="734">
        <f>'Merger-Model'!AB284</f>
        <v>6.11680447548304</v>
      </c>
      <c r="G83" s="734">
        <f>'Merger-Model'!AC284</f>
        <v>4.89121760127301</v>
      </c>
      <c r="H83" s="734">
        <f>'Merger-Model'!AD284</f>
        <v>4.55804442743259</v>
      </c>
      <c r="I83" s="731"/>
      <c r="J83" s="731"/>
    </row>
    <row r="84" outlineLevel="1" spans="3:10">
      <c r="C84" s="25" t="str">
        <f>+'Merger-Model'!C291</f>
        <v>Total Debt / Total Assets:</v>
      </c>
      <c r="D84" s="63" t="s">
        <v>56</v>
      </c>
      <c r="E84" s="720"/>
      <c r="F84" s="720">
        <f>'Merger-Model'!AB291</f>
        <v>0.504636369227351</v>
      </c>
      <c r="G84" s="720">
        <f>'Merger-Model'!AC291</f>
        <v>0.403525452105024</v>
      </c>
      <c r="H84" s="720">
        <f>'Merger-Model'!AD291</f>
        <v>0.376038665263189</v>
      </c>
      <c r="I84" s="731"/>
      <c r="J84" s="731"/>
    </row>
  </sheetData>
  <pageMargins left="0.699305555555556" right="0.699305555555556" top="0.75" bottom="0.75" header="0.3" footer="0.3"/>
  <pageSetup paperSize="1" scale="49" orientation="portrait"/>
  <headerFooter/>
  <rowBreaks count="1" manualBreakCount="1">
    <brk id="39" max="12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autoPageBreaks="0"/>
  </sheetPr>
  <dimension ref="B2:BD344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5" width="10.125" style="11" customWidth="1" outlineLevel="1"/>
    <col min="26" max="26" width="2.375" style="11" customWidth="1"/>
    <col min="27" max="30" width="10.125" style="11" customWidth="1"/>
    <col min="31" max="31" width="2.375" style="11" customWidth="1"/>
    <col min="32" max="44" width="10.125" style="11" customWidth="1"/>
    <col min="45" max="16384" width="8" style="11"/>
  </cols>
  <sheetData>
    <row r="2" ht="18.75" spans="2:17">
      <c r="B2" s="171" t="str">
        <f>"Merger Model - "&amp;Buyer_Name&amp;" and "&amp;Seller_Name</f>
        <v>Merger Model - Digital Realty Trust, Inc. and DuPont Fabros Technology, Inc.</v>
      </c>
      <c r="D2" s="172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9">
      <c r="B5" s="173" t="s">
        <v>59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4"/>
      <c r="O5" s="174"/>
      <c r="P5" s="174"/>
      <c r="Q5" s="174"/>
      <c r="R5" s="173"/>
      <c r="S5" s="173"/>
    </row>
    <row r="6" outlineLevel="1" spans="2:17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outlineLevel="1" spans="2:19">
      <c r="B7" s="4"/>
      <c r="C7" s="4" t="s">
        <v>16</v>
      </c>
      <c r="D7" s="181" t="s">
        <v>58</v>
      </c>
      <c r="E7" s="473">
        <v>0.545</v>
      </c>
      <c r="F7" s="4"/>
      <c r="G7" s="474"/>
      <c r="H7" s="474"/>
      <c r="I7" s="474"/>
      <c r="J7" s="474"/>
      <c r="K7" s="474"/>
      <c r="L7" s="500" t="s">
        <v>61</v>
      </c>
      <c r="M7" s="500" t="s">
        <v>62</v>
      </c>
      <c r="O7" s="45"/>
      <c r="P7" s="45"/>
      <c r="Q7" s="46"/>
      <c r="R7" s="107" t="s">
        <v>63</v>
      </c>
      <c r="S7" s="46"/>
    </row>
    <row r="8" outlineLevel="1" spans="2:19">
      <c r="B8" s="4"/>
      <c r="C8" s="4" t="s">
        <v>64</v>
      </c>
      <c r="D8" s="246" t="s">
        <v>65</v>
      </c>
      <c r="E8" s="475">
        <f>+Exchange_Ratio*Buyer_Share_Price</f>
        <v>64.3209</v>
      </c>
      <c r="F8" s="4"/>
      <c r="G8" s="476" t="s">
        <v>66</v>
      </c>
      <c r="H8" s="477"/>
      <c r="I8" s="477"/>
      <c r="J8" s="482" t="s">
        <v>67</v>
      </c>
      <c r="K8" s="491" t="s">
        <v>68</v>
      </c>
      <c r="L8" s="501" t="s">
        <v>69</v>
      </c>
      <c r="M8" s="501" t="s">
        <v>69</v>
      </c>
      <c r="O8" s="47" t="s">
        <v>70</v>
      </c>
      <c r="P8" s="47"/>
      <c r="Q8" s="48" t="s">
        <v>71</v>
      </c>
      <c r="R8" s="48" t="s">
        <v>72</v>
      </c>
      <c r="S8" s="48" t="s">
        <v>73</v>
      </c>
    </row>
    <row r="9" outlineLevel="1" spans="2:19">
      <c r="B9" s="4"/>
      <c r="C9" s="4" t="s">
        <v>74</v>
      </c>
      <c r="D9" s="736" t="s">
        <v>56</v>
      </c>
      <c r="E9" s="231">
        <f>+Offer_Price/Seller_Share_Price-1</f>
        <v>0.158100468131077</v>
      </c>
      <c r="F9" s="4"/>
      <c r="G9" s="478" t="s">
        <v>75</v>
      </c>
      <c r="H9" s="108"/>
      <c r="J9" s="502">
        <f>+Deal_Pct_Cash</f>
        <v>0</v>
      </c>
      <c r="K9" s="486">
        <f>+J9*Equity_Purchase_Price</f>
        <v>0</v>
      </c>
      <c r="L9" s="503">
        <v>0.037</v>
      </c>
      <c r="M9" s="504">
        <f>+L9*(1-Buyer_Tax_Rate)</f>
        <v>0.0359600860767983</v>
      </c>
      <c r="O9" s="51" t="s">
        <v>76</v>
      </c>
      <c r="Q9" s="52">
        <f>Seller_Shares</f>
        <v>77.83617</v>
      </c>
      <c r="R9" s="215"/>
      <c r="S9" s="112">
        <f t="shared" ref="S9:S13" si="0">+Q9</f>
        <v>77.83617</v>
      </c>
    </row>
    <row r="10" outlineLevel="1" spans="2:19">
      <c r="B10" s="4"/>
      <c r="C10" s="4"/>
      <c r="D10" s="172"/>
      <c r="E10" s="4"/>
      <c r="F10" s="4"/>
      <c r="G10" s="478" t="s">
        <v>77</v>
      </c>
      <c r="H10" s="108"/>
      <c r="J10" s="502">
        <f>+E17</f>
        <v>1</v>
      </c>
      <c r="K10" s="487">
        <f>+J10*Equity_Purchase_Price</f>
        <v>5831.186380233</v>
      </c>
      <c r="L10" s="108"/>
      <c r="M10" s="504">
        <f>+'DLR-Op-Model'!Y63/Buyer_Eq_Value</f>
        <v>0.0123924529772042</v>
      </c>
      <c r="N10" s="504"/>
      <c r="O10" s="49" t="str">
        <f>'DFT-Op-Model'!K9</f>
        <v>Options A:</v>
      </c>
      <c r="Q10" s="52">
        <f>'DFT-Op-Model'!M9</f>
        <v>0.751479</v>
      </c>
      <c r="R10" s="215">
        <f>'DFT-Op-Model'!N9</f>
        <v>15.83</v>
      </c>
      <c r="S10" s="112">
        <f>IF(R10&lt;Offer_Price,Q10-((Q10*R10)/Offer_Price),0)</f>
        <v>0.566532698409071</v>
      </c>
    </row>
    <row r="11" outlineLevel="1" spans="2:19">
      <c r="B11" s="4"/>
      <c r="C11" s="11" t="s">
        <v>78</v>
      </c>
      <c r="D11" s="181" t="s">
        <v>48</v>
      </c>
      <c r="E11" s="324">
        <f>+S16</f>
        <v>5831.186380233</v>
      </c>
      <c r="F11" s="4"/>
      <c r="G11" s="478" t="s">
        <v>79</v>
      </c>
      <c r="H11" s="108"/>
      <c r="J11" s="108"/>
      <c r="K11" s="505">
        <f>+K10/Buyer_Share_Price</f>
        <v>49.408459415633</v>
      </c>
      <c r="L11" s="108"/>
      <c r="M11" s="108"/>
      <c r="O11" s="51" t="str">
        <f>'DFT-Op-Model'!K10</f>
        <v>Restricted Stock:</v>
      </c>
      <c r="Q11" s="52">
        <f>'DFT-Op-Model'!M10</f>
        <v>0.35248</v>
      </c>
      <c r="R11" s="518"/>
      <c r="S11" s="112">
        <f t="shared" si="0"/>
        <v>0.35248</v>
      </c>
    </row>
    <row r="12" outlineLevel="1" spans="2:19">
      <c r="B12" s="4"/>
      <c r="C12" s="108" t="s">
        <v>15</v>
      </c>
      <c r="D12" s="279" t="s">
        <v>80</v>
      </c>
      <c r="E12" s="247">
        <v>43008</v>
      </c>
      <c r="F12" s="4"/>
      <c r="G12" s="478" t="s">
        <v>81</v>
      </c>
      <c r="H12" s="108"/>
      <c r="J12" s="108"/>
      <c r="K12" s="108"/>
      <c r="L12" s="108"/>
      <c r="M12" s="504">
        <f>SUMPRODUCT(J9:J10,M9:M10)</f>
        <v>0.0123924529772042</v>
      </c>
      <c r="O12" s="51" t="str">
        <f>'DFT-Op-Model'!K11</f>
        <v>OP Units:</v>
      </c>
      <c r="Q12" s="52">
        <f>'DFT-Op-Model'!M11</f>
        <v>11.682368</v>
      </c>
      <c r="R12" s="518"/>
      <c r="S12" s="112">
        <f t="shared" si="0"/>
        <v>11.682368</v>
      </c>
    </row>
    <row r="13" outlineLevel="1" spans="2:19">
      <c r="B13" s="4"/>
      <c r="F13" s="4"/>
      <c r="G13" s="478" t="s">
        <v>82</v>
      </c>
      <c r="H13" s="108"/>
      <c r="J13" s="108"/>
      <c r="K13" s="108"/>
      <c r="L13" s="108"/>
      <c r="M13" s="504">
        <f>+'DFT-Op-Model'!Y59/Equity_Purchase_Price</f>
        <v>0.0301487669892548</v>
      </c>
      <c r="O13" s="49" t="str">
        <f>'DFT-Op-Model'!K12</f>
        <v>Performance Units:</v>
      </c>
      <c r="P13" s="115"/>
      <c r="Q13" s="52">
        <f>'DFT-Op-Model'!M12</f>
        <v>0.220173</v>
      </c>
      <c r="R13" s="519"/>
      <c r="S13" s="218">
        <f t="shared" si="0"/>
        <v>0.220173</v>
      </c>
    </row>
    <row r="14" outlineLevel="1" spans="2:19">
      <c r="B14" s="4"/>
      <c r="C14" s="11" t="s">
        <v>83</v>
      </c>
      <c r="D14" s="736" t="s">
        <v>56</v>
      </c>
      <c r="E14" s="479">
        <v>0</v>
      </c>
      <c r="F14" s="4"/>
      <c r="O14" s="219" t="s">
        <v>84</v>
      </c>
      <c r="Q14" s="284"/>
      <c r="R14" s="285"/>
      <c r="S14" s="118">
        <f>SUM(S9:S13)</f>
        <v>90.6577236984091</v>
      </c>
    </row>
    <row r="15" outlineLevel="1" spans="2:18">
      <c r="B15" s="4"/>
      <c r="C15" s="108" t="s">
        <v>85</v>
      </c>
      <c r="D15" s="181" t="s">
        <v>48</v>
      </c>
      <c r="E15" s="309">
        <f>+Equity_Purchase_Price*Deal_Pct_Cash</f>
        <v>0</v>
      </c>
      <c r="F15" s="4"/>
      <c r="G15" s="476" t="s">
        <v>86</v>
      </c>
      <c r="H15" s="477"/>
      <c r="I15" s="477"/>
      <c r="J15" s="482" t="s">
        <v>67</v>
      </c>
      <c r="K15" s="491" t="s">
        <v>68</v>
      </c>
      <c r="L15" s="501" t="s">
        <v>87</v>
      </c>
      <c r="M15" s="501"/>
      <c r="R15" s="114"/>
    </row>
    <row r="16" outlineLevel="1" spans="2:19">
      <c r="B16" s="4"/>
      <c r="F16" s="4"/>
      <c r="G16" s="478" t="s">
        <v>88</v>
      </c>
      <c r="H16" s="108"/>
      <c r="J16" s="496">
        <v>0.0175</v>
      </c>
      <c r="K16" s="486">
        <f>+J16*Equity_Purchase_Price</f>
        <v>102.045761654078</v>
      </c>
      <c r="L16" s="108" t="s">
        <v>89</v>
      </c>
      <c r="M16" s="108"/>
      <c r="O16" s="286" t="s">
        <v>90</v>
      </c>
      <c r="P16" s="287"/>
      <c r="Q16" s="287"/>
      <c r="R16" s="287"/>
      <c r="S16" s="288">
        <f>+S14*Offer_Price</f>
        <v>5831.186380233</v>
      </c>
    </row>
    <row r="17" outlineLevel="1" spans="2:19">
      <c r="B17" s="4"/>
      <c r="C17" s="11" t="s">
        <v>91</v>
      </c>
      <c r="D17" s="736" t="s">
        <v>56</v>
      </c>
      <c r="E17" s="231">
        <f>1-Deal_Pct_Cash</f>
        <v>1</v>
      </c>
      <c r="F17" s="4"/>
      <c r="G17" s="478" t="s">
        <v>92</v>
      </c>
      <c r="H17" s="108"/>
      <c r="J17" s="496">
        <v>0.03</v>
      </c>
      <c r="K17" s="487">
        <f>(K9+Refi_Debt)*J17</f>
        <v>45.7036944652958</v>
      </c>
      <c r="L17" s="108" t="s">
        <v>93</v>
      </c>
      <c r="M17" s="108"/>
      <c r="O17" s="262" t="s">
        <v>94</v>
      </c>
      <c r="Q17" s="181"/>
      <c r="R17" s="181"/>
      <c r="S17" s="206">
        <f>'DFT-Op-Model'!O18</f>
        <v>-44.9239999999999</v>
      </c>
    </row>
    <row r="18" outlineLevel="1" spans="2:19">
      <c r="B18" s="4"/>
      <c r="C18" s="108" t="s">
        <v>95</v>
      </c>
      <c r="D18" s="181" t="s">
        <v>48</v>
      </c>
      <c r="E18" s="309">
        <f>+E17*Equity_Purchase_Price</f>
        <v>5831.186380233</v>
      </c>
      <c r="F18" s="4"/>
      <c r="G18" s="478" t="s">
        <v>96</v>
      </c>
      <c r="J18" s="496">
        <v>0.03</v>
      </c>
      <c r="K18" s="487">
        <f>+Refi_Preferred*J18</f>
        <v>6.0375</v>
      </c>
      <c r="L18" s="108" t="s">
        <v>97</v>
      </c>
      <c r="O18" s="51" t="s">
        <v>98</v>
      </c>
      <c r="S18" s="206">
        <f>'DFT-Op-Model'!O19</f>
        <v>0</v>
      </c>
    </row>
    <row r="19" outlineLevel="1" spans="2:19">
      <c r="B19" s="4"/>
      <c r="F19" s="4"/>
      <c r="G19" s="480" t="s">
        <v>99</v>
      </c>
      <c r="H19" s="481"/>
      <c r="I19" s="115"/>
      <c r="J19" s="506"/>
      <c r="K19" s="507">
        <v>18</v>
      </c>
      <c r="L19" s="108" t="s">
        <v>89</v>
      </c>
      <c r="M19" s="108"/>
      <c r="O19" s="262" t="s">
        <v>100</v>
      </c>
      <c r="P19" s="245"/>
      <c r="Q19" s="245"/>
      <c r="R19" s="245"/>
      <c r="S19" s="365">
        <f>'DFT-Op-Model'!O20</f>
        <v>1407.819</v>
      </c>
    </row>
    <row r="20" outlineLevel="1" spans="2:19">
      <c r="B20" s="4"/>
      <c r="C20" s="476" t="s">
        <v>101</v>
      </c>
      <c r="D20" s="482"/>
      <c r="E20" s="482"/>
      <c r="F20" s="4"/>
      <c r="G20" s="483" t="s">
        <v>102</v>
      </c>
      <c r="H20" s="108"/>
      <c r="J20" s="108"/>
      <c r="K20" s="498">
        <f>SUM(K16:K19)</f>
        <v>171.786956119373</v>
      </c>
      <c r="L20" s="508"/>
      <c r="M20" s="508"/>
      <c r="O20" s="262" t="s">
        <v>103</v>
      </c>
      <c r="S20" s="365">
        <f>'DFT-Op-Model'!O21</f>
        <v>201.25</v>
      </c>
    </row>
    <row r="21" outlineLevel="1" spans="2:19">
      <c r="B21" s="4"/>
      <c r="C21" s="262" t="s">
        <v>104</v>
      </c>
      <c r="D21" s="181" t="s">
        <v>48</v>
      </c>
      <c r="E21" s="484">
        <v>18</v>
      </c>
      <c r="F21" s="4"/>
      <c r="O21" s="262" t="s">
        <v>105</v>
      </c>
      <c r="P21" s="245"/>
      <c r="Q21" s="245"/>
      <c r="R21" s="245"/>
      <c r="S21" s="365">
        <f>'DFT-Op-Model'!O22</f>
        <v>0</v>
      </c>
    </row>
    <row r="22" outlineLevel="1" spans="2:19">
      <c r="B22" s="4"/>
      <c r="F22" s="4"/>
      <c r="G22" s="474"/>
      <c r="H22" s="474"/>
      <c r="I22" s="474"/>
      <c r="J22" s="500" t="s">
        <v>106</v>
      </c>
      <c r="K22" s="500" t="s">
        <v>107</v>
      </c>
      <c r="L22" s="500" t="s">
        <v>108</v>
      </c>
      <c r="M22" s="500"/>
      <c r="O22" s="292" t="s">
        <v>109</v>
      </c>
      <c r="P22" s="293"/>
      <c r="Q22" s="293"/>
      <c r="R22" s="293"/>
      <c r="S22" s="294">
        <f>SUM(S16:S21)</f>
        <v>7395.331380233</v>
      </c>
    </row>
    <row r="23" outlineLevel="1" spans="2:17">
      <c r="B23" s="4"/>
      <c r="C23" s="478" t="s">
        <v>110</v>
      </c>
      <c r="D23" s="736" t="s">
        <v>56</v>
      </c>
      <c r="E23" s="479">
        <v>0.5</v>
      </c>
      <c r="F23" s="4"/>
      <c r="G23" s="476" t="s">
        <v>111</v>
      </c>
      <c r="H23" s="476"/>
      <c r="I23" s="476"/>
      <c r="J23" s="482" t="s">
        <v>72</v>
      </c>
      <c r="K23" s="482" t="s">
        <v>72</v>
      </c>
      <c r="L23" s="482" t="s">
        <v>112</v>
      </c>
      <c r="M23" s="482" t="s">
        <v>113</v>
      </c>
      <c r="N23" s="4"/>
      <c r="O23" s="4"/>
      <c r="P23" s="4"/>
      <c r="Q23" s="4"/>
    </row>
    <row r="24" outlineLevel="1" spans="2:17">
      <c r="B24" s="4"/>
      <c r="C24" s="478" t="s">
        <v>114</v>
      </c>
      <c r="D24" s="736" t="s">
        <v>56</v>
      </c>
      <c r="E24" s="479">
        <v>1</v>
      </c>
      <c r="F24" s="4"/>
      <c r="G24" s="478" t="str">
        <f>TEXT(EOMONTH(Buyer_Hist_Year,Months),"yyyy-mm-dd")&amp;" EV / EBITDA:"</f>
        <v>2017-12-31 EV / EBITDA:</v>
      </c>
      <c r="J24" s="509">
        <f>'DFT-Op-Model'!X232</f>
        <v>18.4701471713877</v>
      </c>
      <c r="K24" s="510">
        <f>+Purchase_Enterprise_Value/'DFT-Op-Model'!X220</f>
        <v>20.7032562656151</v>
      </c>
      <c r="L24" s="509" t="e">
        <f>+#REF!</f>
        <v>#REF!</v>
      </c>
      <c r="M24" s="509">
        <f>+'DLR-Op-Model'!X243</f>
        <v>21.0831843400136</v>
      </c>
      <c r="N24" s="4"/>
      <c r="O24" s="4"/>
      <c r="P24" s="4"/>
      <c r="Q24" s="4"/>
    </row>
    <row r="25" outlineLevel="1" spans="2:17">
      <c r="B25" s="4"/>
      <c r="C25" s="4"/>
      <c r="D25" s="172"/>
      <c r="E25" s="4"/>
      <c r="F25" s="4"/>
      <c r="G25" s="478" t="str">
        <f>TEXT(EOMONTH(Buyer_Hist_Year,Months),"yyyy-mm-dd")&amp;" P / FFO:"</f>
        <v>2017-12-31 P / FFO:</v>
      </c>
      <c r="J25" s="509">
        <f>'DFT-Op-Model'!X233</f>
        <v>17.4857022474046</v>
      </c>
      <c r="K25" s="510">
        <f>+S16/'DFT-Op-Model'!X195</f>
        <v>20.2567334209212</v>
      </c>
      <c r="L25" s="509" t="e">
        <f>+#REF!</f>
        <v>#REF!</v>
      </c>
      <c r="M25" s="509">
        <f>+'DLR-Op-Model'!X244</f>
        <v>20.3300983996144</v>
      </c>
      <c r="N25" s="4"/>
      <c r="O25" s="4"/>
      <c r="P25" s="4"/>
      <c r="Q25" s="4"/>
    </row>
    <row r="26" outlineLevel="1" spans="2:17">
      <c r="B26" s="4"/>
      <c r="C26" s="478" t="s">
        <v>115</v>
      </c>
      <c r="D26" s="736" t="s">
        <v>56</v>
      </c>
      <c r="E26" s="479">
        <v>1.5</v>
      </c>
      <c r="F26" s="4"/>
      <c r="G26" s="478" t="str">
        <f>TEXT(EOMONTH(Buyer_Hist_Year,Months),"yyyy-mm-dd")&amp;" P / AFFO:"</f>
        <v>2017-12-31 P / AFFO:</v>
      </c>
      <c r="J26" s="509">
        <f>'DFT-Op-Model'!X234</f>
        <v>17.7803066737553</v>
      </c>
      <c r="K26" s="510">
        <f>+S16/'DFT-Op-Model'!X203</f>
        <v>20.5980250227553</v>
      </c>
      <c r="L26" s="509" t="e">
        <f>+#REF!</f>
        <v>#REF!</v>
      </c>
      <c r="M26" s="509">
        <f>+'DLR-Op-Model'!X245</f>
        <v>22.7555660535238</v>
      </c>
      <c r="N26" s="4"/>
      <c r="O26" s="4"/>
      <c r="P26" s="4"/>
      <c r="Q26" s="4"/>
    </row>
    <row r="27" outlineLevel="1" spans="2:17">
      <c r="B27" s="4"/>
      <c r="C27" s="485" t="s">
        <v>116</v>
      </c>
      <c r="F27" s="4"/>
      <c r="G27" s="478"/>
      <c r="J27" s="511"/>
      <c r="K27" s="510"/>
      <c r="L27" s="511"/>
      <c r="M27" s="511"/>
      <c r="N27" s="4"/>
      <c r="O27" s="4"/>
      <c r="P27" s="4"/>
      <c r="Q27" s="4"/>
    </row>
    <row r="28" outlineLevel="1" spans="2:17">
      <c r="B28" s="4"/>
      <c r="F28" s="4"/>
      <c r="G28" s="478" t="str">
        <f>TEXT(EOMONTH(Buyer_Hist_Year,Months*2),"yyyy-mm-dd")&amp;" EV / EBITDA:"</f>
        <v>2018-12-31 EV / EBITDA:</v>
      </c>
      <c r="J28" s="509">
        <f>'DFT-Op-Model'!Y232</f>
        <v>15.4655911306658</v>
      </c>
      <c r="K28" s="510">
        <f>+Purchase_Enterprise_Value/'DFT-Op-Model'!Y220</f>
        <v>17.335438288949</v>
      </c>
      <c r="L28" s="509" t="e">
        <f>+#REF!</f>
        <v>#REF!</v>
      </c>
      <c r="M28" s="509">
        <f>+'DLR-Op-Model'!Y243</f>
        <v>18.9685435507276</v>
      </c>
      <c r="N28" s="4"/>
      <c r="O28" s="4"/>
      <c r="P28" s="4"/>
      <c r="Q28" s="4"/>
    </row>
    <row r="29" outlineLevel="1" spans="2:17">
      <c r="B29" s="4"/>
      <c r="F29" s="4"/>
      <c r="G29" s="478" t="str">
        <f>TEXT(EOMONTH(Buyer_Hist_Year,Months*2),"yyyy-mm-dd")&amp;" P / FFO:"</f>
        <v>2018-12-31 P / FFO:</v>
      </c>
      <c r="J29" s="509">
        <f>'DFT-Op-Model'!Y233</f>
        <v>14.5965303619337</v>
      </c>
      <c r="K29" s="510">
        <f>+S16/'DFT-Op-Model'!Y195</f>
        <v>16.9097025803445</v>
      </c>
      <c r="L29" s="509" t="e">
        <f>+#REF!</f>
        <v>#REF!</v>
      </c>
      <c r="M29" s="509">
        <f>+'DLR-Op-Model'!Y244</f>
        <v>18.3133787142055</v>
      </c>
      <c r="N29" s="4"/>
      <c r="O29" s="4"/>
      <c r="P29" s="4"/>
      <c r="Q29" s="4"/>
    </row>
    <row r="30" outlineLevel="1" spans="2:17">
      <c r="B30" s="4"/>
      <c r="C30" s="4"/>
      <c r="D30" s="172"/>
      <c r="E30" s="4"/>
      <c r="F30" s="4"/>
      <c r="G30" s="478" t="str">
        <f>TEXT(EOMONTH(Buyer_Hist_Year,Months*2),"yyyy-mm-dd")&amp;" P / AFFO:"</f>
        <v>2018-12-31 P / AFFO:</v>
      </c>
      <c r="J30" s="509">
        <f>'DFT-Op-Model'!Y234</f>
        <v>14.9556822339399</v>
      </c>
      <c r="K30" s="510">
        <f>+S16/'DFT-Op-Model'!Y203</f>
        <v>17.3257707271034</v>
      </c>
      <c r="L30" s="509" t="e">
        <f>+#REF!</f>
        <v>#REF!</v>
      </c>
      <c r="M30" s="509">
        <f>+'DLR-Op-Model'!Y245</f>
        <v>20.4952432427284</v>
      </c>
      <c r="N30" s="4"/>
      <c r="O30" s="4"/>
      <c r="P30" s="4"/>
      <c r="Q30" s="4"/>
    </row>
    <row r="31" spans="2:17">
      <c r="B31" s="4"/>
      <c r="C31" s="4"/>
      <c r="D31" s="172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2:19">
      <c r="B32" s="173" t="s">
        <v>117</v>
      </c>
      <c r="C32" s="174"/>
      <c r="D32" s="173"/>
      <c r="E32" s="174"/>
      <c r="F32" s="173"/>
      <c r="G32" s="174"/>
      <c r="H32" s="173"/>
      <c r="I32" s="174"/>
      <c r="J32" s="173"/>
      <c r="K32" s="174"/>
      <c r="L32" s="173"/>
      <c r="M32" s="174"/>
      <c r="N32" s="173"/>
      <c r="O32" s="174"/>
      <c r="P32" s="173"/>
      <c r="Q32" s="174"/>
      <c r="R32" s="173"/>
      <c r="S32" s="173"/>
    </row>
    <row r="33" outlineLevel="1" spans="2:18"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</row>
    <row r="34" outlineLevel="1" spans="2:18">
      <c r="B34" s="108"/>
      <c r="C34" s="108" t="s">
        <v>118</v>
      </c>
      <c r="D34" s="181" t="s">
        <v>48</v>
      </c>
      <c r="E34" s="486">
        <f>+'DLR-Op-Model'!L219+'DFT-Op-Model'!L208</f>
        <v>125.987971928149</v>
      </c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</row>
    <row r="35" outlineLevel="1" spans="2:18">
      <c r="B35" s="108"/>
      <c r="C35" s="108" t="s">
        <v>119</v>
      </c>
      <c r="D35" s="181" t="s">
        <v>48</v>
      </c>
      <c r="E35" s="487">
        <f>+L164+M164</f>
        <v>125.987971928149</v>
      </c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</row>
    <row r="36" outlineLevel="1" spans="2:18">
      <c r="B36" s="108"/>
      <c r="C36" s="108" t="s">
        <v>120</v>
      </c>
      <c r="D36" s="181" t="s">
        <v>48</v>
      </c>
      <c r="E36" s="487">
        <f>MAX(E35-E34,0)</f>
        <v>0</v>
      </c>
      <c r="F36" s="108"/>
      <c r="G36" s="108"/>
      <c r="H36" s="108"/>
      <c r="I36" s="108"/>
      <c r="J36" s="108"/>
      <c r="K36" s="108"/>
      <c r="L36" s="108"/>
      <c r="M36" s="108"/>
      <c r="N36" s="108"/>
      <c r="O36" s="108"/>
      <c r="P36" s="108"/>
      <c r="Q36" s="108"/>
      <c r="R36" s="108"/>
    </row>
    <row r="37" outlineLevel="1" spans="2:18">
      <c r="B37" s="108"/>
      <c r="C37" s="108" t="s">
        <v>121</v>
      </c>
      <c r="D37" s="181" t="s">
        <v>48</v>
      </c>
      <c r="E37" s="487">
        <f>MIN(E36,K20)</f>
        <v>0</v>
      </c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</row>
    <row r="38" outlineLevel="1" spans="2:18">
      <c r="B38" s="108"/>
      <c r="C38" s="108" t="s">
        <v>122</v>
      </c>
      <c r="D38" s="181" t="s">
        <v>48</v>
      </c>
      <c r="E38" s="488">
        <f>+K20-E37</f>
        <v>171.786956119373</v>
      </c>
      <c r="F38" s="108"/>
      <c r="G38" s="108"/>
      <c r="H38" s="108"/>
      <c r="I38" s="108"/>
      <c r="J38" s="108"/>
      <c r="K38" s="108"/>
      <c r="L38" s="108"/>
      <c r="M38" s="108"/>
      <c r="N38" s="108"/>
      <c r="O38" s="108"/>
      <c r="P38" s="108"/>
      <c r="Q38" s="108"/>
      <c r="R38" s="108"/>
    </row>
    <row r="39" outlineLevel="1" spans="2:18"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108"/>
      <c r="P39" s="108"/>
      <c r="Q39" s="108"/>
      <c r="R39" s="108"/>
    </row>
    <row r="40" outlineLevel="1" spans="2:18">
      <c r="B40" s="108"/>
      <c r="C40" s="489"/>
      <c r="D40" s="489"/>
      <c r="E40" s="489" t="s">
        <v>123</v>
      </c>
      <c r="F40" s="490"/>
      <c r="G40" s="108"/>
      <c r="H40" s="108"/>
      <c r="I40" s="489"/>
      <c r="J40" s="489"/>
      <c r="K40" s="489"/>
      <c r="L40" s="489"/>
      <c r="M40" s="489"/>
      <c r="N40" s="489" t="s">
        <v>123</v>
      </c>
      <c r="O40" s="490"/>
      <c r="P40" s="108"/>
      <c r="Q40" s="108"/>
      <c r="R40" s="108"/>
    </row>
    <row r="41" outlineLevel="1" spans="2:18">
      <c r="B41" s="108"/>
      <c r="C41" s="491" t="s">
        <v>124</v>
      </c>
      <c r="D41" s="491"/>
      <c r="E41" s="491" t="s">
        <v>125</v>
      </c>
      <c r="F41" s="482" t="s">
        <v>126</v>
      </c>
      <c r="I41" s="491" t="s">
        <v>127</v>
      </c>
      <c r="J41" s="512"/>
      <c r="K41" s="512"/>
      <c r="L41" s="512"/>
      <c r="M41" s="512"/>
      <c r="N41" s="491" t="s">
        <v>125</v>
      </c>
      <c r="O41" s="476"/>
      <c r="P41" s="108"/>
      <c r="Q41" s="108"/>
      <c r="R41" s="108"/>
    </row>
    <row r="42" outlineLevel="1" spans="2:18">
      <c r="B42" s="108"/>
      <c r="C42" s="478" t="s">
        <v>128</v>
      </c>
      <c r="D42" s="492">
        <f>+E38+K9</f>
        <v>171.786956119373</v>
      </c>
      <c r="E42" s="493">
        <f>+L9</f>
        <v>0.037</v>
      </c>
      <c r="F42" s="108"/>
      <c r="I42" s="478" t="s">
        <v>129</v>
      </c>
      <c r="J42" s="108"/>
      <c r="K42" s="108"/>
      <c r="L42" s="108"/>
      <c r="M42" s="486">
        <f>+Equity_Purchase_Price</f>
        <v>5831.186380233</v>
      </c>
      <c r="N42" s="108"/>
      <c r="O42" s="108"/>
      <c r="P42" s="108"/>
      <c r="Q42" s="108"/>
      <c r="R42" s="108"/>
    </row>
    <row r="43" outlineLevel="1" spans="2:18">
      <c r="B43" s="108"/>
      <c r="C43" s="478" t="s">
        <v>130</v>
      </c>
      <c r="D43" s="487">
        <f>+M43</f>
        <v>1523.45648217653</v>
      </c>
      <c r="E43" s="494">
        <f>(2.75%*(321.302+346.855)+3.7%*(991.04+104))/(321.302+346.855+991.04+104)</f>
        <v>0.0334000100385833</v>
      </c>
      <c r="F43" s="495">
        <f>+E43-N43</f>
        <v>-0.00459998996141667</v>
      </c>
      <c r="I43" s="478" t="str">
        <f>$C$43</f>
        <v>Refinance Target's Debt:</v>
      </c>
      <c r="J43" s="108"/>
      <c r="K43" s="108"/>
      <c r="L43" s="108"/>
      <c r="M43" s="487">
        <f>+M176</f>
        <v>1523.45648217653</v>
      </c>
      <c r="N43" s="513">
        <f>+'DLR-Op-Model'!K99</f>
        <v>0.038</v>
      </c>
      <c r="O43" s="108"/>
      <c r="P43" s="108"/>
      <c r="Q43" s="108"/>
      <c r="R43" s="108"/>
    </row>
    <row r="44" outlineLevel="1" spans="2:18">
      <c r="B44" s="108"/>
      <c r="C44" s="478" t="s">
        <v>131</v>
      </c>
      <c r="D44" s="487">
        <f>+M44</f>
        <v>201.25</v>
      </c>
      <c r="E44" s="496">
        <v>0.0525</v>
      </c>
      <c r="F44" s="495">
        <f>+E44-N44</f>
        <v>-0.0137459627329193</v>
      </c>
      <c r="I44" s="478" t="str">
        <f>$C$44</f>
        <v>Refinance Target's Preferred Stock:</v>
      </c>
      <c r="J44" s="108"/>
      <c r="K44" s="108"/>
      <c r="L44" s="108"/>
      <c r="M44" s="487">
        <f>+M182</f>
        <v>201.25</v>
      </c>
      <c r="N44" s="513">
        <f>+'DFT-Op-Model'!K96</f>
        <v>0.0662459627329193</v>
      </c>
      <c r="O44" s="108"/>
      <c r="P44" s="108"/>
      <c r="Q44" s="108"/>
      <c r="R44" s="108"/>
    </row>
    <row r="45" outlineLevel="1" spans="2:18">
      <c r="B45" s="108"/>
      <c r="C45" s="478" t="s">
        <v>132</v>
      </c>
      <c r="D45" s="94">
        <f>+K10</f>
        <v>5831.186380233</v>
      </c>
      <c r="E45" s="108"/>
      <c r="F45" s="108"/>
      <c r="I45" s="478" t="s">
        <v>133</v>
      </c>
      <c r="J45" s="108"/>
      <c r="K45" s="108"/>
      <c r="L45" s="108"/>
      <c r="M45" s="159">
        <f>+K16+K19</f>
        <v>120.045761654078</v>
      </c>
      <c r="N45" s="108"/>
      <c r="O45" s="108"/>
      <c r="P45" s="108"/>
      <c r="Q45" s="108"/>
      <c r="R45" s="108"/>
    </row>
    <row r="46" outlineLevel="1" spans="2:18">
      <c r="B46" s="108"/>
      <c r="C46" s="478" t="s">
        <v>134</v>
      </c>
      <c r="D46" s="94">
        <f>+E37</f>
        <v>0</v>
      </c>
      <c r="E46" s="108"/>
      <c r="F46" s="486"/>
      <c r="I46" s="478" t="s">
        <v>135</v>
      </c>
      <c r="J46" s="108"/>
      <c r="K46" s="108"/>
      <c r="L46" s="108"/>
      <c r="M46" s="159">
        <f>+K17+K18</f>
        <v>51.7411944652958</v>
      </c>
      <c r="N46" s="108"/>
      <c r="O46" s="108"/>
      <c r="P46" s="108"/>
      <c r="Q46" s="108"/>
      <c r="R46" s="108"/>
    </row>
    <row r="47" outlineLevel="1" spans="2:18">
      <c r="B47" s="108"/>
      <c r="C47" s="497" t="s">
        <v>136</v>
      </c>
      <c r="D47" s="498">
        <f>SUM(D42:D46)</f>
        <v>7727.6798185289</v>
      </c>
      <c r="E47" s="108"/>
      <c r="F47" s="108"/>
      <c r="I47" s="497" t="s">
        <v>137</v>
      </c>
      <c r="J47" s="508"/>
      <c r="K47" s="508"/>
      <c r="L47" s="508"/>
      <c r="M47" s="498">
        <f>SUM(M42:M46)</f>
        <v>7727.6798185289</v>
      </c>
      <c r="N47" s="108"/>
      <c r="O47" s="108"/>
      <c r="P47" s="108"/>
      <c r="Q47" s="108"/>
      <c r="R47" s="108"/>
    </row>
    <row r="48" outlineLevel="1" spans="2:18">
      <c r="B48" s="108"/>
      <c r="E48" s="108"/>
      <c r="F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outlineLevel="1" spans="2:18">
      <c r="B49" s="108"/>
      <c r="C49" s="108"/>
      <c r="D49" s="108"/>
      <c r="E49" s="108"/>
      <c r="F49" s="108"/>
      <c r="I49" s="483" t="s">
        <v>138</v>
      </c>
      <c r="J49" s="108"/>
      <c r="K49" s="108"/>
      <c r="L49" s="108"/>
      <c r="M49" s="327">
        <f>+D47-M47</f>
        <v>0</v>
      </c>
      <c r="N49" s="108"/>
      <c r="O49" s="108"/>
      <c r="P49" s="108"/>
      <c r="Q49" s="108"/>
      <c r="R49" s="108"/>
    </row>
    <row r="50" spans="2:17">
      <c r="B50" s="4"/>
      <c r="C50" s="4"/>
      <c r="D50" s="172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2:19">
      <c r="B51" s="173" t="s">
        <v>139</v>
      </c>
      <c r="C51" s="174"/>
      <c r="D51" s="173"/>
      <c r="E51" s="174"/>
      <c r="F51" s="173"/>
      <c r="G51" s="174"/>
      <c r="H51" s="173"/>
      <c r="I51" s="174"/>
      <c r="J51" s="173"/>
      <c r="K51" s="174"/>
      <c r="L51" s="173"/>
      <c r="M51" s="174"/>
      <c r="N51" s="173"/>
      <c r="O51" s="174"/>
      <c r="P51" s="173"/>
      <c r="Q51" s="174"/>
      <c r="R51" s="173"/>
      <c r="S51" s="173"/>
    </row>
    <row r="52" outlineLevel="1" spans="2:18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outlineLevel="1" spans="2:18">
      <c r="B53" s="108"/>
      <c r="C53" s="476" t="s">
        <v>140</v>
      </c>
      <c r="D53" s="477"/>
      <c r="E53" s="108"/>
      <c r="F53" s="476" t="s">
        <v>141</v>
      </c>
      <c r="G53" s="477"/>
      <c r="H53" s="477"/>
      <c r="I53" s="477"/>
      <c r="J53" s="477"/>
      <c r="L53" s="476" t="s">
        <v>142</v>
      </c>
      <c r="M53" s="477"/>
      <c r="N53" s="477"/>
      <c r="O53" s="477"/>
      <c r="P53" s="477"/>
      <c r="Q53" s="108"/>
      <c r="R53" s="108"/>
    </row>
    <row r="54" outlineLevel="1" spans="2:18">
      <c r="B54" s="108"/>
      <c r="C54" s="179" t="s">
        <v>78</v>
      </c>
      <c r="D54" s="499">
        <f>+Equity_Purchase_Price</f>
        <v>5831.186380233</v>
      </c>
      <c r="E54" s="108"/>
      <c r="F54" s="478" t="s">
        <v>143</v>
      </c>
      <c r="G54" s="108"/>
      <c r="H54" s="108"/>
      <c r="I54" s="108"/>
      <c r="J54" s="514">
        <v>0.05</v>
      </c>
      <c r="L54" s="51" t="s">
        <v>144</v>
      </c>
      <c r="M54" s="108"/>
      <c r="N54" s="108"/>
      <c r="O54" s="108"/>
      <c r="P54" s="95">
        <f>SUM('DFT-Op-Model'!$M$31:$P$31)</f>
        <v>358.33008324</v>
      </c>
      <c r="Q54" s="108"/>
      <c r="R54" s="108"/>
    </row>
    <row r="55" outlineLevel="1" spans="2:18">
      <c r="B55" s="108"/>
      <c r="C55" s="478" t="s">
        <v>145</v>
      </c>
      <c r="D55" s="95">
        <f>-M181</f>
        <v>-765.562532104626</v>
      </c>
      <c r="E55" s="108"/>
      <c r="F55" s="478" t="s">
        <v>146</v>
      </c>
      <c r="G55" s="108"/>
      <c r="H55" s="108"/>
      <c r="I55" s="108"/>
      <c r="J55" s="95">
        <f>+M158/(1-J54)</f>
        <v>3341.51278112758</v>
      </c>
      <c r="L55" s="51" t="s">
        <v>147</v>
      </c>
      <c r="P55" s="515">
        <v>6</v>
      </c>
      <c r="Q55" s="108"/>
      <c r="R55" s="108"/>
    </row>
    <row r="56" outlineLevel="1" spans="2:18">
      <c r="B56" s="108"/>
      <c r="C56" s="478" t="s">
        <v>148</v>
      </c>
      <c r="D56" s="95">
        <f>+M167</f>
        <v>0</v>
      </c>
      <c r="E56" s="108"/>
      <c r="F56" s="478" t="s">
        <v>149</v>
      </c>
      <c r="J56" s="95">
        <f>+J55-M158</f>
        <v>167.075639056379</v>
      </c>
      <c r="L56" s="51" t="s">
        <v>150</v>
      </c>
      <c r="M56" s="108"/>
      <c r="N56" s="108"/>
      <c r="O56" s="108"/>
      <c r="P56" s="516">
        <v>0.01</v>
      </c>
      <c r="Q56" s="108"/>
      <c r="R56" s="108"/>
    </row>
    <row r="57" outlineLevel="1" spans="2:18">
      <c r="B57" s="108"/>
      <c r="C57" s="497" t="s">
        <v>151</v>
      </c>
      <c r="D57" s="453">
        <f>SUM(D54:D56)</f>
        <v>5065.62384812837</v>
      </c>
      <c r="E57" s="108"/>
      <c r="F57" s="478" t="s">
        <v>152</v>
      </c>
      <c r="G57" s="108"/>
      <c r="H57" s="108"/>
      <c r="I57" s="108"/>
      <c r="J57" s="515">
        <v>39</v>
      </c>
      <c r="L57" s="51" t="s">
        <v>153</v>
      </c>
      <c r="P57" s="95">
        <f>+P54*(1+P56)^P55</f>
        <v>380.374603925794</v>
      </c>
      <c r="Q57" s="108"/>
      <c r="R57" s="108"/>
    </row>
    <row r="58" outlineLevel="1" spans="2:18">
      <c r="B58" s="108"/>
      <c r="C58" s="179"/>
      <c r="D58" s="98"/>
      <c r="E58" s="108"/>
      <c r="L58" s="51" t="s">
        <v>154</v>
      </c>
      <c r="P58" s="516">
        <v>0.65</v>
      </c>
      <c r="Q58" s="108"/>
      <c r="R58" s="108"/>
    </row>
    <row r="59" outlineLevel="1" spans="2:18">
      <c r="B59" s="108"/>
      <c r="C59" s="478" t="s">
        <v>155</v>
      </c>
      <c r="D59" s="487">
        <f>-J56</f>
        <v>-167.075639056379</v>
      </c>
      <c r="E59" s="108"/>
      <c r="F59" s="51" t="s">
        <v>156</v>
      </c>
      <c r="J59" s="516">
        <v>0.2</v>
      </c>
      <c r="L59" s="51" t="s">
        <v>157</v>
      </c>
      <c r="P59" s="95">
        <f>+P57*P58</f>
        <v>247.243492551766</v>
      </c>
      <c r="Q59" s="108"/>
      <c r="R59" s="108"/>
    </row>
    <row r="60" outlineLevel="1" spans="2:18">
      <c r="B60" s="108"/>
      <c r="C60" s="478" t="s">
        <v>158</v>
      </c>
      <c r="D60" s="95">
        <f>-J62</f>
        <v>-124.3492</v>
      </c>
      <c r="E60" s="108"/>
      <c r="F60" s="478" t="s">
        <v>159</v>
      </c>
      <c r="G60" s="108"/>
      <c r="H60" s="108"/>
      <c r="I60" s="108"/>
      <c r="J60" s="95">
        <f>+M159*(1+J59)</f>
        <v>746.0952</v>
      </c>
      <c r="Q60" s="108"/>
      <c r="R60" s="108"/>
    </row>
    <row r="61" outlineLevel="1" spans="2:18">
      <c r="B61" s="108"/>
      <c r="C61" s="478" t="s">
        <v>160</v>
      </c>
      <c r="D61" s="95">
        <f>+M161</f>
        <v>-747.289703637995</v>
      </c>
      <c r="E61" s="108"/>
      <c r="F61" s="478"/>
      <c r="G61" s="108"/>
      <c r="H61" s="108"/>
      <c r="I61" s="108"/>
      <c r="J61" s="95"/>
      <c r="L61" s="478" t="s">
        <v>161</v>
      </c>
      <c r="M61" s="108"/>
      <c r="N61" s="108"/>
      <c r="O61" s="108"/>
      <c r="P61" s="516">
        <f>2/3</f>
        <v>0.666666666666667</v>
      </c>
      <c r="Q61" s="108"/>
      <c r="R61" s="108"/>
    </row>
    <row r="62" outlineLevel="1" spans="2:18">
      <c r="B62" s="108"/>
      <c r="C62" s="478" t="s">
        <v>162</v>
      </c>
      <c r="D62" s="333">
        <f>+M166</f>
        <v>122.46749130385</v>
      </c>
      <c r="E62" s="108"/>
      <c r="F62" s="51" t="s">
        <v>163</v>
      </c>
      <c r="G62" s="108"/>
      <c r="J62" s="95">
        <f>+J60-M159</f>
        <v>124.3492</v>
      </c>
      <c r="L62" s="478" t="s">
        <v>164</v>
      </c>
      <c r="M62" s="108"/>
      <c r="N62" s="108"/>
      <c r="O62" s="108"/>
      <c r="P62" s="95">
        <f>+P59*P61</f>
        <v>164.828995034511</v>
      </c>
      <c r="Q62" s="108"/>
      <c r="R62" s="108"/>
    </row>
    <row r="63" outlineLevel="1" spans="2:18">
      <c r="B63" s="108"/>
      <c r="C63" s="478" t="s">
        <v>165</v>
      </c>
      <c r="D63" s="487">
        <f>-J75</f>
        <v>-161.248537458</v>
      </c>
      <c r="E63" s="108"/>
      <c r="F63" s="108"/>
      <c r="G63" s="108"/>
      <c r="L63" s="478" t="s">
        <v>166</v>
      </c>
      <c r="M63" s="108"/>
      <c r="N63" s="108"/>
      <c r="O63" s="108"/>
      <c r="P63" s="517">
        <f>'DFT-NAV'!$F$20</f>
        <v>0.07</v>
      </c>
      <c r="Q63" s="108"/>
      <c r="R63" s="108"/>
    </row>
    <row r="64" outlineLevel="1" spans="2:18">
      <c r="B64" s="108"/>
      <c r="C64" s="51" t="s">
        <v>167</v>
      </c>
      <c r="D64" s="309">
        <f>-P75</f>
        <v>184.284042809143</v>
      </c>
      <c r="E64" s="108"/>
      <c r="F64" s="108"/>
      <c r="G64" s="108"/>
      <c r="L64" s="51" t="s">
        <v>168</v>
      </c>
      <c r="M64" s="108"/>
      <c r="N64" s="108"/>
      <c r="O64" s="108"/>
      <c r="P64" s="95">
        <f>+P62/P63</f>
        <v>2354.69992906444</v>
      </c>
      <c r="Q64" s="108"/>
      <c r="R64" s="108"/>
    </row>
    <row r="65" outlineLevel="1" spans="2:18">
      <c r="B65" s="108"/>
      <c r="C65" s="51" t="s">
        <v>169</v>
      </c>
      <c r="D65" s="309">
        <f>-P66</f>
        <v>-1589.86470434269</v>
      </c>
      <c r="E65" s="108"/>
      <c r="F65" s="478"/>
      <c r="G65" s="4"/>
      <c r="H65" s="4"/>
      <c r="I65" s="4"/>
      <c r="J65" s="95"/>
      <c r="L65" s="478" t="s">
        <v>170</v>
      </c>
      <c r="M65" s="108"/>
      <c r="N65" s="108"/>
      <c r="O65" s="108"/>
      <c r="P65" s="549">
        <f>WACC</f>
        <v>0.067650809787859</v>
      </c>
      <c r="Q65" s="108"/>
      <c r="R65" s="108"/>
    </row>
    <row r="66" outlineLevel="1" spans="2:18">
      <c r="B66" s="108"/>
      <c r="C66" s="497" t="s">
        <v>171</v>
      </c>
      <c r="D66" s="520">
        <f>+D57+SUM(D59:D65)</f>
        <v>2582.5475977463</v>
      </c>
      <c r="E66" s="108"/>
      <c r="F66" s="108"/>
      <c r="G66" s="108"/>
      <c r="L66" s="51" t="s">
        <v>172</v>
      </c>
      <c r="M66" s="108"/>
      <c r="N66" s="108"/>
      <c r="O66" s="108"/>
      <c r="P66" s="95">
        <f>+P64/((1+P65)^P55)</f>
        <v>1589.86470434269</v>
      </c>
      <c r="Q66" s="108"/>
      <c r="R66" s="108"/>
    </row>
    <row r="67" outlineLevel="1" spans="2:18">
      <c r="B67" s="108"/>
      <c r="E67" s="108"/>
      <c r="F67" s="108"/>
      <c r="G67" s="108"/>
      <c r="L67" s="51" t="s">
        <v>173</v>
      </c>
      <c r="M67" s="4"/>
      <c r="N67" s="4"/>
      <c r="O67" s="4"/>
      <c r="P67" s="515">
        <v>14</v>
      </c>
      <c r="Q67" s="108"/>
      <c r="R67" s="108"/>
    </row>
    <row r="68" outlineLevel="1" spans="2:18">
      <c r="B68" s="108"/>
      <c r="C68" s="478"/>
      <c r="D68" s="487"/>
      <c r="E68" s="108"/>
      <c r="F68" s="108"/>
      <c r="G68" s="108"/>
      <c r="Q68" s="108"/>
      <c r="R68" s="108"/>
    </row>
    <row r="69" outlineLevel="1" spans="2:18">
      <c r="B69" s="108"/>
      <c r="E69" s="108"/>
      <c r="F69" s="476" t="s">
        <v>174</v>
      </c>
      <c r="G69" s="477"/>
      <c r="H69" s="477"/>
      <c r="I69" s="477"/>
      <c r="J69" s="477"/>
      <c r="K69" s="477"/>
      <c r="L69" s="477"/>
      <c r="M69" s="477"/>
      <c r="N69" s="477"/>
      <c r="O69" s="477"/>
      <c r="P69" s="477"/>
      <c r="Q69" s="108"/>
      <c r="R69" s="108"/>
    </row>
    <row r="70" outlineLevel="1" spans="2:18">
      <c r="B70" s="108"/>
      <c r="E70" s="108"/>
      <c r="F70" s="51" t="s">
        <v>175</v>
      </c>
      <c r="J70" s="516">
        <v>0.3</v>
      </c>
      <c r="L70" s="51" t="s">
        <v>176</v>
      </c>
      <c r="M70" s="108"/>
      <c r="N70" s="108"/>
      <c r="O70" s="108"/>
      <c r="P70" s="516">
        <v>0.4</v>
      </c>
      <c r="Q70" s="108"/>
      <c r="R70" s="108"/>
    </row>
    <row r="71" outlineLevel="1" spans="2:18">
      <c r="B71" s="108"/>
      <c r="E71" s="108"/>
      <c r="F71" s="51" t="s">
        <v>144</v>
      </c>
      <c r="J71" s="95">
        <f>SUM('DFT-Op-Model'!$M$31:$P$31)</f>
        <v>358.33008324</v>
      </c>
      <c r="L71" s="51" t="s">
        <v>144</v>
      </c>
      <c r="M71" s="108"/>
      <c r="N71" s="108"/>
      <c r="O71" s="108"/>
      <c r="P71" s="95">
        <f>SUM('DFT-Op-Model'!$M$31:$P$31)</f>
        <v>358.33008324</v>
      </c>
      <c r="Q71" s="108"/>
      <c r="R71" s="108"/>
    </row>
    <row r="72" outlineLevel="1" spans="2:18">
      <c r="B72" s="108"/>
      <c r="E72" s="108"/>
      <c r="F72" s="478" t="s">
        <v>177</v>
      </c>
      <c r="G72" s="108"/>
      <c r="H72" s="108"/>
      <c r="I72" s="108"/>
      <c r="J72" s="516">
        <v>0.105</v>
      </c>
      <c r="L72" s="478" t="s">
        <v>177</v>
      </c>
      <c r="M72" s="108"/>
      <c r="N72" s="108"/>
      <c r="O72" s="108"/>
      <c r="P72" s="516">
        <v>-0.09</v>
      </c>
      <c r="Q72" s="108"/>
      <c r="R72" s="108"/>
    </row>
    <row r="73" outlineLevel="1" spans="2:17">
      <c r="B73" s="4"/>
      <c r="E73" s="4"/>
      <c r="F73" s="478" t="s">
        <v>178</v>
      </c>
      <c r="G73" s="108"/>
      <c r="H73" s="108"/>
      <c r="I73" s="108"/>
      <c r="J73" s="95">
        <f>+J70*J71*J72</f>
        <v>11.28739762206</v>
      </c>
      <c r="L73" s="478" t="s">
        <v>179</v>
      </c>
      <c r="M73" s="4"/>
      <c r="N73" s="4"/>
      <c r="O73" s="4"/>
      <c r="P73" s="95">
        <f>+P70*P71*P72</f>
        <v>-12.89988299664</v>
      </c>
      <c r="Q73" s="4"/>
    </row>
    <row r="74" outlineLevel="1" spans="2:17">
      <c r="B74" s="4"/>
      <c r="E74" s="4"/>
      <c r="F74" s="478" t="s">
        <v>166</v>
      </c>
      <c r="G74" s="108"/>
      <c r="H74" s="108"/>
      <c r="I74" s="108"/>
      <c r="J74" s="517">
        <f>'DFT-NAV'!$F$20</f>
        <v>0.07</v>
      </c>
      <c r="L74" s="478" t="s">
        <v>166</v>
      </c>
      <c r="M74" s="4"/>
      <c r="N74" s="4"/>
      <c r="O74" s="4"/>
      <c r="P74" s="517">
        <f>'DFT-NAV'!$F$20</f>
        <v>0.07</v>
      </c>
      <c r="Q74" s="4"/>
    </row>
    <row r="75" outlineLevel="1" spans="2:17">
      <c r="B75" s="4"/>
      <c r="C75" s="478"/>
      <c r="D75" s="487"/>
      <c r="E75" s="4"/>
      <c r="F75" s="478" t="s">
        <v>180</v>
      </c>
      <c r="G75" s="108"/>
      <c r="H75" s="108"/>
      <c r="I75" s="108"/>
      <c r="J75" s="95">
        <f>+J73/J74</f>
        <v>161.248537458</v>
      </c>
      <c r="L75" s="478" t="s">
        <v>181</v>
      </c>
      <c r="M75" s="4"/>
      <c r="N75" s="4"/>
      <c r="O75" s="4"/>
      <c r="P75" s="95">
        <f>+P73/P74</f>
        <v>-184.284042809143</v>
      </c>
      <c r="Q75" s="4"/>
    </row>
    <row r="76" outlineLevel="1" spans="2:44">
      <c r="B76" s="4"/>
      <c r="E76" s="4"/>
      <c r="F76" s="51" t="s">
        <v>173</v>
      </c>
      <c r="G76" s="108"/>
      <c r="H76" s="108"/>
      <c r="I76" s="108"/>
      <c r="J76" s="515">
        <v>4</v>
      </c>
      <c r="L76" s="51" t="s">
        <v>173</v>
      </c>
      <c r="M76" s="4"/>
      <c r="N76" s="4"/>
      <c r="O76" s="4"/>
      <c r="P76" s="515">
        <v>12</v>
      </c>
      <c r="Q76" s="4"/>
      <c r="AK76" s="593"/>
      <c r="AL76" s="593"/>
      <c r="AM76" s="593"/>
      <c r="AN76" s="593"/>
      <c r="AO76" s="593"/>
      <c r="AP76" s="593"/>
      <c r="AQ76" s="593"/>
      <c r="AR76" s="593"/>
    </row>
    <row r="77" spans="2:44">
      <c r="B77" s="4"/>
      <c r="C77" s="4"/>
      <c r="D77" s="172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AK77" s="593"/>
      <c r="AL77" s="593"/>
      <c r="AM77" s="593"/>
      <c r="AN77" s="593"/>
      <c r="AO77" s="593"/>
      <c r="AP77" s="593"/>
      <c r="AQ77" s="593"/>
      <c r="AR77" s="593"/>
    </row>
    <row r="78" outlineLevel="1" spans="2:44">
      <c r="B78" s="252" t="s">
        <v>182</v>
      </c>
      <c r="C78" s="245"/>
      <c r="D78" s="248"/>
      <c r="E78" s="245"/>
      <c r="F78" s="253">
        <f t="shared" ref="F78:K78" si="1">YEAR(F83)</f>
        <v>2016</v>
      </c>
      <c r="G78" s="253">
        <f t="shared" si="1"/>
        <v>2016</v>
      </c>
      <c r="H78" s="253">
        <f t="shared" si="1"/>
        <v>2016</v>
      </c>
      <c r="I78" s="253">
        <f t="shared" si="1"/>
        <v>2016</v>
      </c>
      <c r="J78" s="253">
        <f t="shared" si="1"/>
        <v>2017</v>
      </c>
      <c r="K78" s="253">
        <f t="shared" si="1"/>
        <v>2017</v>
      </c>
      <c r="L78" s="253"/>
      <c r="M78" s="253"/>
      <c r="N78" s="253"/>
      <c r="O78" s="253"/>
      <c r="P78" s="253">
        <f t="shared" ref="P78:Y78" si="2">YEAR(P83)</f>
        <v>2017</v>
      </c>
      <c r="Q78" s="253">
        <f t="shared" si="2"/>
        <v>2017</v>
      </c>
      <c r="R78" s="253">
        <f t="shared" si="2"/>
        <v>2018</v>
      </c>
      <c r="S78" s="253">
        <f t="shared" si="2"/>
        <v>2018</v>
      </c>
      <c r="T78" s="253">
        <f t="shared" si="2"/>
        <v>2018</v>
      </c>
      <c r="U78" s="253">
        <f t="shared" si="2"/>
        <v>2018</v>
      </c>
      <c r="V78" s="253">
        <f t="shared" si="2"/>
        <v>2019</v>
      </c>
      <c r="W78" s="253">
        <f t="shared" si="2"/>
        <v>2019</v>
      </c>
      <c r="X78" s="253">
        <f t="shared" si="2"/>
        <v>2019</v>
      </c>
      <c r="Y78" s="253">
        <f t="shared" si="2"/>
        <v>2019</v>
      </c>
      <c r="AA78" s="253">
        <f t="shared" ref="AA78:AD78" si="3">YEAR(AA83)</f>
        <v>2016</v>
      </c>
      <c r="AB78" s="253">
        <f t="shared" si="3"/>
        <v>2017</v>
      </c>
      <c r="AC78" s="253">
        <f t="shared" si="3"/>
        <v>2018</v>
      </c>
      <c r="AD78" s="253">
        <f t="shared" si="3"/>
        <v>2019</v>
      </c>
      <c r="AK78" s="593"/>
      <c r="AL78" s="593"/>
      <c r="AM78" s="593"/>
      <c r="AN78" s="593"/>
      <c r="AO78" s="593"/>
      <c r="AP78" s="593"/>
      <c r="AQ78" s="593"/>
      <c r="AR78" s="593"/>
    </row>
    <row r="79" outlineLevel="1" spans="2:25">
      <c r="B79" s="252" t="s">
        <v>183</v>
      </c>
      <c r="C79" s="245"/>
      <c r="D79" s="248"/>
      <c r="E79" s="245"/>
      <c r="F79" s="245"/>
      <c r="G79" s="245"/>
      <c r="H79" s="245"/>
      <c r="I79" s="245"/>
      <c r="J79" s="245"/>
      <c r="K79" s="245"/>
      <c r="L79" s="245"/>
      <c r="M79" s="245"/>
      <c r="N79" s="245"/>
      <c r="O79" s="245"/>
      <c r="P79" s="245"/>
      <c r="Q79" s="589">
        <v>0.25</v>
      </c>
      <c r="R79" s="590">
        <f>+Q79+1/Num_Periods</f>
        <v>0.5</v>
      </c>
      <c r="S79" s="590">
        <f>+R79+1/Num_Periods</f>
        <v>0.75</v>
      </c>
      <c r="T79" s="590">
        <f>+S79+1/Num_Periods</f>
        <v>1</v>
      </c>
      <c r="U79" s="590">
        <f>+T79+1/Num_Periods</f>
        <v>1.25</v>
      </c>
      <c r="V79" s="590">
        <f>+U79+1/Num_Periods</f>
        <v>1.5</v>
      </c>
      <c r="W79" s="590">
        <f>+V79+1/Num_Periods</f>
        <v>1.75</v>
      </c>
      <c r="X79" s="590">
        <f>+W79+1/Num_Periods</f>
        <v>2</v>
      </c>
      <c r="Y79" s="590">
        <f>+X79+1/Num_Periods</f>
        <v>2.25</v>
      </c>
    </row>
    <row r="80" outlineLevel="1" spans="2:38">
      <c r="B80" s="252" t="s">
        <v>184</v>
      </c>
      <c r="C80" s="245"/>
      <c r="D80" s="248"/>
      <c r="E80" s="245"/>
      <c r="F80" s="245"/>
      <c r="G80" s="245"/>
      <c r="H80" s="245"/>
      <c r="I80" s="245"/>
      <c r="J80" s="245"/>
      <c r="K80" s="245"/>
      <c r="L80" s="245"/>
      <c r="M80" s="245"/>
      <c r="N80" s="245"/>
      <c r="O80" s="245"/>
      <c r="P80" s="245"/>
      <c r="Q80" s="591">
        <f>-'DLR-Op-Model'!M57/'DLR-Op-Model'!M56</f>
        <v>0.0234041688675795</v>
      </c>
      <c r="R80" s="591">
        <f>-'DLR-Op-Model'!N57/'DLR-Op-Model'!N56</f>
        <v>0.025614730486484</v>
      </c>
      <c r="S80" s="591">
        <f>-'DLR-Op-Model'!O57/'DLR-Op-Model'!O56</f>
        <v>0.0423340100759456</v>
      </c>
      <c r="T80" s="591">
        <f>-'DLR-Op-Model'!P57/'DLR-Op-Model'!P56</f>
        <v>0.0164488956688997</v>
      </c>
      <c r="U80" s="591">
        <f>-'DLR-Op-Model'!Q57/'DLR-Op-Model'!Q56</f>
        <v>0.0234041688675795</v>
      </c>
      <c r="V80" s="591">
        <f>-'DLR-Op-Model'!R57/'DLR-Op-Model'!R56</f>
        <v>0.025614730486484</v>
      </c>
      <c r="W80" s="591">
        <f>-'DLR-Op-Model'!S57/'DLR-Op-Model'!S56</f>
        <v>0.0423340100759456</v>
      </c>
      <c r="X80" s="591">
        <f>-'DLR-Op-Model'!T57/'DLR-Op-Model'!T56</f>
        <v>0.0164488956688997</v>
      </c>
      <c r="Y80" s="591">
        <f>-'DLR-Op-Model'!U57/'DLR-Op-Model'!U56</f>
        <v>0.0234041688675795</v>
      </c>
      <c r="AA80" s="591">
        <f>-'DLR-Op-Model'!W57/'DLR-Op-Model'!W56</f>
        <v>0.0234828836121808</v>
      </c>
      <c r="AB80" s="591">
        <f>-'DLR-Op-Model'!X57/'DLR-Op-Model'!X56</f>
        <v>0.0266322230464475</v>
      </c>
      <c r="AC80" s="591">
        <f>-'DLR-Op-Model'!Y57/'DLR-Op-Model'!Y56</f>
        <v>0.0265029087683967</v>
      </c>
      <c r="AD80" s="591">
        <f>-'DLR-Op-Model'!Z57/'DLR-Op-Model'!Z56</f>
        <v>0.0265638137360677</v>
      </c>
      <c r="AL80" s="593"/>
    </row>
    <row r="81" outlineLevel="1" spans="2:38">
      <c r="B81" s="245"/>
      <c r="C81" s="245"/>
      <c r="D81" s="248"/>
      <c r="E81" s="245"/>
      <c r="F81" s="245"/>
      <c r="G81" s="245"/>
      <c r="H81" s="245"/>
      <c r="I81" s="245"/>
      <c r="J81" s="245"/>
      <c r="K81" s="245"/>
      <c r="L81" s="245"/>
      <c r="M81" s="245"/>
      <c r="N81" s="245"/>
      <c r="O81" s="245"/>
      <c r="P81" s="245"/>
      <c r="Q81" s="295"/>
      <c r="AL81" s="593"/>
    </row>
    <row r="82" spans="2:30">
      <c r="B82" s="254"/>
      <c r="C82" s="254"/>
      <c r="D82" s="255"/>
      <c r="E82" s="256"/>
      <c r="F82" s="257" t="s">
        <v>45</v>
      </c>
      <c r="G82" s="257"/>
      <c r="H82" s="257"/>
      <c r="I82" s="257"/>
      <c r="J82" s="296"/>
      <c r="K82" s="297" t="s">
        <v>46</v>
      </c>
      <c r="L82" s="257"/>
      <c r="M82" s="297" t="s">
        <v>185</v>
      </c>
      <c r="N82" s="257"/>
      <c r="O82" s="257"/>
      <c r="P82" s="296"/>
      <c r="Q82" s="257" t="s">
        <v>46</v>
      </c>
      <c r="R82" s="257"/>
      <c r="S82" s="257"/>
      <c r="T82" s="257"/>
      <c r="U82" s="257"/>
      <c r="V82" s="257"/>
      <c r="W82" s="257"/>
      <c r="X82" s="257"/>
      <c r="Y82" s="257"/>
      <c r="AA82" s="257" t="s">
        <v>45</v>
      </c>
      <c r="AB82" s="297" t="s">
        <v>46</v>
      </c>
      <c r="AC82" s="257"/>
      <c r="AD82" s="257"/>
    </row>
    <row r="83" spans="2:43">
      <c r="B83" s="173" t="s">
        <v>186</v>
      </c>
      <c r="C83" s="173"/>
      <c r="D83" s="174" t="str">
        <f>+$D$5</f>
        <v>Units:</v>
      </c>
      <c r="E83" s="175"/>
      <c r="F83" s="258">
        <f>EOMONTH(G83,-Months/Num_Periods)</f>
        <v>42460</v>
      </c>
      <c r="G83" s="259">
        <f>EOMONTH(H83,-Months/Num_Periods)</f>
        <v>42551</v>
      </c>
      <c r="H83" s="260">
        <f>EOMONTH(I83,-Months/Num_Periods)</f>
        <v>42643</v>
      </c>
      <c r="I83" s="298">
        <f>EOMONTH(J83,-Months/Num_Periods)</f>
        <v>42735</v>
      </c>
      <c r="J83" s="258">
        <f>Buyer_MRQ</f>
        <v>42825</v>
      </c>
      <c r="K83" s="299">
        <f>EOMONTH(J83,Months/Num_Periods)</f>
        <v>42916</v>
      </c>
      <c r="L83" s="260">
        <f>EOMONTH(K83,Months/Num_Periods)</f>
        <v>43008</v>
      </c>
      <c r="M83" s="550" t="s">
        <v>187</v>
      </c>
      <c r="N83" s="260" t="s">
        <v>188</v>
      </c>
      <c r="O83" s="260" t="s">
        <v>189</v>
      </c>
      <c r="P83" s="551">
        <f>L83</f>
        <v>43008</v>
      </c>
      <c r="Q83" s="298">
        <f>EOMONTH(L83,Months/Num_Periods)</f>
        <v>43100</v>
      </c>
      <c r="R83" s="258">
        <f>EOMONTH(Q83,Months/Num_Periods)</f>
        <v>43190</v>
      </c>
      <c r="S83" s="259">
        <f>EOMONTH(R83,Months/Num_Periods)</f>
        <v>43281</v>
      </c>
      <c r="T83" s="260">
        <f>EOMONTH(S83,Months/Num_Periods)</f>
        <v>43373</v>
      </c>
      <c r="U83" s="298">
        <f>EOMONTH(T83,Months/Num_Periods)</f>
        <v>43465</v>
      </c>
      <c r="V83" s="258">
        <f>EOMONTH(U83,Months/Num_Periods)</f>
        <v>43555</v>
      </c>
      <c r="W83" s="259">
        <f>EOMONTH(V83,Months/Num_Periods)</f>
        <v>43646</v>
      </c>
      <c r="X83" s="260">
        <f>EOMONTH(W83,Months/Num_Periods)</f>
        <v>43738</v>
      </c>
      <c r="Y83" s="298">
        <f>EOMONTH(X83,Months/Num_Periods)</f>
        <v>43830</v>
      </c>
      <c r="AA83" s="313">
        <f>Buyer_Hist_Year</f>
        <v>42735</v>
      </c>
      <c r="AB83" s="314">
        <f>EOMONTH(AA83,Months)</f>
        <v>43100</v>
      </c>
      <c r="AC83" s="176">
        <f>EOMONTH(AB83,Months)</f>
        <v>43465</v>
      </c>
      <c r="AD83" s="176">
        <f>EOMONTH(AC83,Months)</f>
        <v>43830</v>
      </c>
      <c r="AF83" s="108"/>
      <c r="AG83" s="108"/>
      <c r="AH83" s="108"/>
      <c r="AI83" s="108"/>
      <c r="AJ83" s="108"/>
      <c r="AK83" s="108"/>
      <c r="AL83" s="108"/>
      <c r="AM83" s="108"/>
      <c r="AN83" s="108"/>
      <c r="AO83" s="108"/>
      <c r="AP83" s="108"/>
      <c r="AQ83" s="108"/>
    </row>
    <row r="84" outlineLevel="1" spans="2:17">
      <c r="B84" s="4"/>
      <c r="C84" s="4"/>
      <c r="D84" s="172"/>
      <c r="E84" s="261"/>
      <c r="F84" s="261"/>
      <c r="G84" s="261"/>
      <c r="H84" s="261"/>
      <c r="I84" s="261"/>
      <c r="J84" s="261"/>
      <c r="K84" s="261"/>
      <c r="L84" s="261"/>
      <c r="M84" s="552"/>
      <c r="N84" s="553"/>
      <c r="O84" s="553"/>
      <c r="P84" s="554"/>
      <c r="Q84" s="261"/>
    </row>
    <row r="85" outlineLevel="1" spans="2:17">
      <c r="B85" s="4"/>
      <c r="C85" s="126" t="s">
        <v>190</v>
      </c>
      <c r="D85" s="172"/>
      <c r="E85" s="261"/>
      <c r="F85" s="261"/>
      <c r="G85" s="261"/>
      <c r="H85" s="261"/>
      <c r="I85" s="261"/>
      <c r="J85" s="261"/>
      <c r="K85" s="300"/>
      <c r="L85" s="261"/>
      <c r="M85" s="555"/>
      <c r="N85" s="261"/>
      <c r="O85" s="261"/>
      <c r="P85" s="556"/>
      <c r="Q85" s="271"/>
    </row>
    <row r="86" outlineLevel="1" spans="2:30">
      <c r="B86" s="4"/>
      <c r="C86" s="262" t="s">
        <v>191</v>
      </c>
      <c r="D86" s="181" t="s">
        <v>48</v>
      </c>
      <c r="E86" s="261"/>
      <c r="F86" s="211">
        <f>+'DLR-Op-Model'!F32</f>
        <v>371.128</v>
      </c>
      <c r="G86" s="211">
        <f>+'DLR-Op-Model'!G32</f>
        <v>377.109</v>
      </c>
      <c r="H86" s="211">
        <f>+'DLR-Op-Model'!H32</f>
        <v>395.212</v>
      </c>
      <c r="I86" s="211">
        <f>+'DLR-Op-Model'!I32</f>
        <v>399.062</v>
      </c>
      <c r="J86" s="211">
        <f>+'DLR-Op-Model'!J32</f>
        <v>404.126</v>
      </c>
      <c r="K86" s="211">
        <f>+'DLR-Op-Model'!K32</f>
        <v>376.354782</v>
      </c>
      <c r="L86" s="211">
        <f>+'DLR-Op-Model'!L32</f>
        <v>393.23594</v>
      </c>
      <c r="M86" s="557"/>
      <c r="N86" s="301"/>
      <c r="O86" s="301"/>
      <c r="P86" s="558">
        <f t="shared" ref="P86:P94" si="4">+L86</f>
        <v>393.23594</v>
      </c>
      <c r="Q86" s="301">
        <f>+'DLR-Op-Model'!M32+'DFT-Op-Model'!M31</f>
        <v>487.39464</v>
      </c>
      <c r="R86" s="301">
        <f>+'DLR-Op-Model'!N32+'DFT-Op-Model'!N31</f>
        <v>501.91223</v>
      </c>
      <c r="S86" s="301">
        <f>+'DLR-Op-Model'!O32+'DFT-Op-Model'!O31</f>
        <v>460.847612178</v>
      </c>
      <c r="T86" s="301">
        <f>+'DLR-Op-Model'!P32+'DFT-Op-Model'!P31</f>
        <v>481.46953046</v>
      </c>
      <c r="U86" s="301">
        <f>+'DLR-Op-Model'!Q32+'DFT-Op-Model'!Q31</f>
        <v>485.61891786</v>
      </c>
      <c r="V86" s="301">
        <f>+'DLR-Op-Model'!R32+'DFT-Op-Model'!R31</f>
        <v>507.61156993</v>
      </c>
      <c r="W86" s="301">
        <f>+'DLR-Op-Model'!S32+'DFT-Op-Model'!S31</f>
        <v>461.065718045502</v>
      </c>
      <c r="X86" s="301">
        <f>+'DLR-Op-Model'!T32+'DFT-Op-Model'!T31</f>
        <v>480.65101495658</v>
      </c>
      <c r="Y86" s="301">
        <f>+'DLR-Op-Model'!U32+'DFT-Op-Model'!U31</f>
        <v>484.39195031304</v>
      </c>
      <c r="AA86" s="301">
        <f t="shared" ref="AA86:AD86" si="5">SUMIF($F$78:$Y$78,AA$78,$F86:$Y86)</f>
        <v>1542.511</v>
      </c>
      <c r="AB86" s="301">
        <f t="shared" si="5"/>
        <v>1661.111362</v>
      </c>
      <c r="AC86" s="301">
        <f t="shared" si="5"/>
        <v>1929.848290498</v>
      </c>
      <c r="AD86" s="301">
        <f t="shared" si="5"/>
        <v>1933.72025324512</v>
      </c>
    </row>
    <row r="87" outlineLevel="1" spans="2:30">
      <c r="B87" s="4"/>
      <c r="C87" s="262" t="s">
        <v>192</v>
      </c>
      <c r="D87" s="181" t="s">
        <v>48</v>
      </c>
      <c r="E87" s="261"/>
      <c r="F87" s="521">
        <f>+'DLR-Op-Model'!F33</f>
        <v>0</v>
      </c>
      <c r="G87" s="521">
        <f>+'DLR-Op-Model'!G33</f>
        <v>0</v>
      </c>
      <c r="H87" s="521">
        <f>+'DLR-Op-Model'!H33</f>
        <v>0</v>
      </c>
      <c r="I87" s="521">
        <f>+'DLR-Op-Model'!I33</f>
        <v>0</v>
      </c>
      <c r="J87" s="521">
        <f>+'DLR-Op-Model'!J33</f>
        <v>0</v>
      </c>
      <c r="K87" s="521">
        <f>+'DLR-Op-Model'!K33</f>
        <v>8.33912439193885</v>
      </c>
      <c r="L87" s="521">
        <f>+'DLR-Op-Model'!L33</f>
        <v>17.3769441917164</v>
      </c>
      <c r="M87" s="559"/>
      <c r="N87" s="302"/>
      <c r="O87" s="302"/>
      <c r="P87" s="560">
        <f t="shared" si="4"/>
        <v>17.3769441917164</v>
      </c>
      <c r="Q87" s="302">
        <f>+'DLR-Op-Model'!M33+'DFT-Op-Model'!M32</f>
        <v>39.774853699162</v>
      </c>
      <c r="R87" s="302">
        <f>+'DLR-Op-Model'!N33+'DFT-Op-Model'!N32</f>
        <v>54.5594690837774</v>
      </c>
      <c r="S87" s="302">
        <f>+'DLR-Op-Model'!O33+'DFT-Op-Model'!O32</f>
        <v>72.9940243304764</v>
      </c>
      <c r="T87" s="302">
        <f>+'DLR-Op-Model'!P33+'DFT-Op-Model'!P32</f>
        <v>91.4343191024453</v>
      </c>
      <c r="U87" s="302">
        <f>+'DLR-Op-Model'!Q33+'DFT-Op-Model'!Q32</f>
        <v>110.559576834404</v>
      </c>
      <c r="V87" s="302">
        <f>+'DLR-Op-Model'!R33+'DFT-Op-Model'!R32</f>
        <v>131.90363277846</v>
      </c>
      <c r="W87" s="302">
        <f>+'DLR-Op-Model'!S33+'DFT-Op-Model'!S32</f>
        <v>153.147969123144</v>
      </c>
      <c r="X87" s="302">
        <f>+'DLR-Op-Model'!T33+'DFT-Op-Model'!T32</f>
        <v>175.233174907348</v>
      </c>
      <c r="Y87" s="302">
        <f>+'DLR-Op-Model'!U33+'DFT-Op-Model'!U32</f>
        <v>198.115305491541</v>
      </c>
      <c r="AA87" s="302">
        <f t="shared" ref="AA87:AD87" si="6">SUMIF($F$78:$Y$78,AA$78,$F87:$Y87)</f>
        <v>0</v>
      </c>
      <c r="AB87" s="302">
        <f t="shared" si="6"/>
        <v>65.4909222828172</v>
      </c>
      <c r="AC87" s="302">
        <f t="shared" si="6"/>
        <v>329.547389351103</v>
      </c>
      <c r="AD87" s="302">
        <f t="shared" si="6"/>
        <v>658.400082300493</v>
      </c>
    </row>
    <row r="88" outlineLevel="1" spans="2:30">
      <c r="B88" s="4"/>
      <c r="C88" s="522" t="s">
        <v>193</v>
      </c>
      <c r="D88" s="523" t="s">
        <v>48</v>
      </c>
      <c r="E88" s="524"/>
      <c r="F88" s="525"/>
      <c r="G88" s="525"/>
      <c r="H88" s="525"/>
      <c r="I88" s="525"/>
      <c r="J88" s="525"/>
      <c r="K88" s="525"/>
      <c r="L88" s="525"/>
      <c r="M88" s="561"/>
      <c r="N88" s="562"/>
      <c r="O88" s="562"/>
      <c r="P88" s="563"/>
      <c r="Q88" s="562">
        <f>-MIN($J$75/$J$76/Num_Periods,$J$75+SUM($P88:P88))</f>
        <v>-10.078033591125</v>
      </c>
      <c r="R88" s="562">
        <f>-MIN($J$75/$J$76/Num_Periods,$J$75+SUM($P88:Q88))</f>
        <v>-10.078033591125</v>
      </c>
      <c r="S88" s="562">
        <f>-MIN($J$75/$J$76/Num_Periods,$J$75+SUM($P88:R88))</f>
        <v>-10.078033591125</v>
      </c>
      <c r="T88" s="562">
        <f>-MIN($J$75/$J$76/Num_Periods,$J$75+SUM($P88:S88))</f>
        <v>-10.078033591125</v>
      </c>
      <c r="U88" s="562">
        <f>-MIN($J$75/$J$76/Num_Periods,$J$75+SUM($P88:T88))</f>
        <v>-10.078033591125</v>
      </c>
      <c r="V88" s="562">
        <f>-MIN($J$75/$J$76/Num_Periods,$J$75+SUM($P88:U88))</f>
        <v>-10.078033591125</v>
      </c>
      <c r="W88" s="562">
        <f>-MIN($J$75/$J$76/Num_Periods,$J$75+SUM($P88:V88))</f>
        <v>-10.078033591125</v>
      </c>
      <c r="X88" s="562">
        <f>-MIN($J$75/$J$76/Num_Periods,$J$75+SUM($P88:W88))</f>
        <v>-10.078033591125</v>
      </c>
      <c r="Y88" s="562">
        <f>-MIN($J$75/$J$76/Num_Periods,$J$75+SUM($P88:X88))</f>
        <v>-10.078033591125</v>
      </c>
      <c r="AA88" s="562">
        <f t="shared" ref="AA88:AD88" si="7">SUMIF($F$78:$Y$78,AA$78,$F88:$Y88)</f>
        <v>0</v>
      </c>
      <c r="AB88" s="562">
        <f t="shared" si="7"/>
        <v>-10.078033591125</v>
      </c>
      <c r="AC88" s="562">
        <f t="shared" si="7"/>
        <v>-40.3121343645</v>
      </c>
      <c r="AD88" s="562">
        <f t="shared" si="7"/>
        <v>-40.3121343645</v>
      </c>
    </row>
    <row r="89" outlineLevel="1" spans="2:30">
      <c r="B89" s="4"/>
      <c r="C89" s="526" t="s">
        <v>194</v>
      </c>
      <c r="D89" s="527" t="s">
        <v>48</v>
      </c>
      <c r="E89" s="528"/>
      <c r="F89" s="529"/>
      <c r="G89" s="529"/>
      <c r="H89" s="529"/>
      <c r="I89" s="529"/>
      <c r="J89" s="529"/>
      <c r="K89" s="529"/>
      <c r="L89" s="529"/>
      <c r="M89" s="564"/>
      <c r="N89" s="565"/>
      <c r="O89" s="565"/>
      <c r="P89" s="566"/>
      <c r="Q89" s="565">
        <f>MIN(-$P$75/$P$76/Num_Periods,-$P$75-SUM($P89:P89))</f>
        <v>3.83925089185714</v>
      </c>
      <c r="R89" s="565">
        <f>MIN(-$P$75/$P$76/Num_Periods,-$P$75-SUM($P89:Q89))</f>
        <v>3.83925089185714</v>
      </c>
      <c r="S89" s="565">
        <f>MIN(-$P$75/$P$76/Num_Periods,-$P$75-SUM($P89:R89))</f>
        <v>3.83925089185714</v>
      </c>
      <c r="T89" s="565">
        <f>MIN(-$P$75/$P$76/Num_Periods,-$P$75-SUM($P89:S89))</f>
        <v>3.83925089185714</v>
      </c>
      <c r="U89" s="565">
        <f>MIN(-$P$75/$P$76/Num_Periods,-$P$75-SUM($P89:T89))</f>
        <v>3.83925089185714</v>
      </c>
      <c r="V89" s="565">
        <f>MIN(-$P$75/$P$76/Num_Periods,-$P$75-SUM($P89:U89))</f>
        <v>3.83925089185714</v>
      </c>
      <c r="W89" s="565">
        <f>MIN(-$P$75/$P$76/Num_Periods,-$P$75-SUM($P89:V89))</f>
        <v>3.83925089185714</v>
      </c>
      <c r="X89" s="565">
        <f>MIN(-$P$75/$P$76/Num_Periods,-$P$75-SUM($P89:W89))</f>
        <v>3.83925089185714</v>
      </c>
      <c r="Y89" s="565">
        <f>MIN(-$P$75/$P$76/Num_Periods,-$P$75-SUM($P89:X89))</f>
        <v>3.83925089185714</v>
      </c>
      <c r="AA89" s="565">
        <f t="shared" ref="AA89:AD89" si="8">SUMIF($F$78:$Y$78,AA$78,$F89:$Y89)</f>
        <v>0</v>
      </c>
      <c r="AB89" s="565">
        <f t="shared" si="8"/>
        <v>3.83925089185714</v>
      </c>
      <c r="AC89" s="565">
        <f t="shared" si="8"/>
        <v>15.3570035674286</v>
      </c>
      <c r="AD89" s="565">
        <f t="shared" si="8"/>
        <v>15.3570035674286</v>
      </c>
    </row>
    <row r="90" outlineLevel="1" spans="2:30">
      <c r="B90" s="4"/>
      <c r="C90" s="262" t="s">
        <v>195</v>
      </c>
      <c r="D90" s="181" t="s">
        <v>48</v>
      </c>
      <c r="E90" s="261"/>
      <c r="F90" s="521">
        <f>+'DLR-Op-Model'!F34</f>
        <v>84.218</v>
      </c>
      <c r="G90" s="521">
        <f>+'DLR-Op-Model'!G34</f>
        <v>88.211</v>
      </c>
      <c r="H90" s="521">
        <f>+'DLR-Op-Model'!H34</f>
        <v>95.665</v>
      </c>
      <c r="I90" s="521">
        <f>+'DLR-Op-Model'!I34</f>
        <v>87.809</v>
      </c>
      <c r="J90" s="521">
        <f>+'DLR-Op-Model'!J34</f>
        <v>87.288</v>
      </c>
      <c r="K90" s="521">
        <f>+'DLR-Op-Model'!K34</f>
        <v>86.373422469</v>
      </c>
      <c r="L90" s="521">
        <f>+'DLR-Op-Model'!L34</f>
        <v>94.062036848</v>
      </c>
      <c r="M90" s="559"/>
      <c r="N90" s="302"/>
      <c r="O90" s="302"/>
      <c r="P90" s="560">
        <f t="shared" si="4"/>
        <v>94.062036848</v>
      </c>
      <c r="Q90" s="302">
        <f>+'DLR-Op-Model'!M34+'DFT-Op-Model'!M33</f>
        <v>132.445219392</v>
      </c>
      <c r="R90" s="302">
        <f>+'DLR-Op-Model'!N34+'DFT-Op-Model'!N33</f>
        <v>134.05256635</v>
      </c>
      <c r="S90" s="302">
        <f>+'DLR-Op-Model'!O34+'DFT-Op-Model'!O33</f>
        <v>130.419025225731</v>
      </c>
      <c r="T90" s="302">
        <f>+'DLR-Op-Model'!P34+'DFT-Op-Model'!P33</f>
        <v>138.486499877456</v>
      </c>
      <c r="U90" s="302">
        <f>+'DLR-Op-Model'!Q34+'DFT-Op-Model'!Q33</f>
        <v>132.447375126864</v>
      </c>
      <c r="V90" s="302">
        <f>+'DLR-Op-Model'!R34+'DFT-Op-Model'!R33</f>
        <v>135.38249018255</v>
      </c>
      <c r="W90" s="302">
        <f>+'DLR-Op-Model'!S34+'DFT-Op-Model'!S33</f>
        <v>130.641662009939</v>
      </c>
      <c r="X90" s="302">
        <f>+'DLR-Op-Model'!T34+'DFT-Op-Model'!T33</f>
        <v>138.383986921804</v>
      </c>
      <c r="Y90" s="302">
        <f>+'DLR-Op-Model'!U34+'DFT-Op-Model'!U33</f>
        <v>132.496063856203</v>
      </c>
      <c r="AA90" s="302">
        <f t="shared" ref="AA90:AD90" si="9">SUMIF($F$78:$Y$78,AA$78,$F90:$Y90)</f>
        <v>355.903</v>
      </c>
      <c r="AB90" s="302">
        <f t="shared" si="9"/>
        <v>400.168678709</v>
      </c>
      <c r="AC90" s="302">
        <f t="shared" si="9"/>
        <v>535.405466580051</v>
      </c>
      <c r="AD90" s="302">
        <f t="shared" si="9"/>
        <v>536.904202970495</v>
      </c>
    </row>
    <row r="91" outlineLevel="1" spans="2:40">
      <c r="B91" s="4"/>
      <c r="C91" s="262" t="s">
        <v>196</v>
      </c>
      <c r="D91" s="181" t="s">
        <v>48</v>
      </c>
      <c r="E91" s="261"/>
      <c r="F91" s="521">
        <f>+'DLR-Op-Model'!F35</f>
        <v>0</v>
      </c>
      <c r="G91" s="521">
        <f>+'DLR-Op-Model'!G35</f>
        <v>0</v>
      </c>
      <c r="H91" s="521">
        <f>+'DLR-Op-Model'!H35</f>
        <v>0</v>
      </c>
      <c r="I91" s="521">
        <f>+'DLR-Op-Model'!I35</f>
        <v>0</v>
      </c>
      <c r="J91" s="521">
        <f>+'DLR-Op-Model'!J35</f>
        <v>0</v>
      </c>
      <c r="K91" s="521">
        <f>+'DLR-Op-Model'!K35</f>
        <v>1.91382904794997</v>
      </c>
      <c r="L91" s="521">
        <f>+'DLR-Op-Model'!L35</f>
        <v>4.07567554405675</v>
      </c>
      <c r="M91" s="559"/>
      <c r="N91" s="302"/>
      <c r="O91" s="302"/>
      <c r="P91" s="560">
        <f t="shared" si="4"/>
        <v>4.07567554405675</v>
      </c>
      <c r="Q91" s="302">
        <f>+'DLR-Op-Model'!M35+'DFT-Op-Model'!M34</f>
        <v>12.5291789804829</v>
      </c>
      <c r="R91" s="302">
        <f>+'DLR-Op-Model'!N35+'DFT-Op-Model'!N34</f>
        <v>16.9618712881752</v>
      </c>
      <c r="S91" s="302">
        <f>+'DLR-Op-Model'!O35+'DFT-Op-Model'!O34</f>
        <v>22.5506892172926</v>
      </c>
      <c r="T91" s="302">
        <f>+'DLR-Op-Model'!P35+'DFT-Op-Model'!P34</f>
        <v>28.1808477267476</v>
      </c>
      <c r="U91" s="302">
        <f>+'DLR-Op-Model'!Q35+'DFT-Op-Model'!Q34</f>
        <v>33.7517240154074</v>
      </c>
      <c r="V91" s="302">
        <f>+'DLR-Op-Model'!R35+'DFT-Op-Model'!R34</f>
        <v>39.8796960433794</v>
      </c>
      <c r="W91" s="302">
        <f>+'DLR-Op-Model'!S35+'DFT-Op-Model'!S34</f>
        <v>46.3239712344843</v>
      </c>
      <c r="X91" s="302">
        <f>+'DLR-Op-Model'!T35+'DFT-Op-Model'!T34</f>
        <v>53.0150724580661</v>
      </c>
      <c r="Y91" s="302">
        <f>+'DLR-Op-Model'!U35+'DFT-Op-Model'!U34</f>
        <v>59.6176497776537</v>
      </c>
      <c r="AA91" s="302">
        <f t="shared" ref="AA91:AD91" si="10">SUMIF($F$78:$Y$78,AA$78,$F91:$Y91)</f>
        <v>0</v>
      </c>
      <c r="AB91" s="302">
        <f t="shared" si="10"/>
        <v>18.5186835724896</v>
      </c>
      <c r="AC91" s="302">
        <f t="shared" si="10"/>
        <v>101.445132247623</v>
      </c>
      <c r="AD91" s="302">
        <f t="shared" si="10"/>
        <v>198.836389513584</v>
      </c>
      <c r="AF91" s="108"/>
      <c r="AG91" s="108"/>
      <c r="AH91" s="108"/>
      <c r="AI91" s="108"/>
      <c r="AJ91" s="108"/>
      <c r="AK91" s="108"/>
      <c r="AL91" s="108"/>
      <c r="AM91" s="108"/>
      <c r="AN91" s="108"/>
    </row>
    <row r="92" outlineLevel="1" spans="2:30">
      <c r="B92" s="4"/>
      <c r="C92" s="262" t="s">
        <v>197</v>
      </c>
      <c r="D92" s="181" t="s">
        <v>48</v>
      </c>
      <c r="E92" s="261"/>
      <c r="F92" s="521">
        <f>+'DLR-Op-Model'!F36</f>
        <v>1.799</v>
      </c>
      <c r="G92" s="521">
        <f>+'DLR-Op-Model'!G36</f>
        <v>1.251</v>
      </c>
      <c r="H92" s="521">
        <f>+'DLR-Op-Model'!H36</f>
        <v>1.517</v>
      </c>
      <c r="I92" s="521">
        <f>+'DLR-Op-Model'!I36</f>
        <v>1.718</v>
      </c>
      <c r="J92" s="521">
        <f>+'DLR-Op-Model'!J36</f>
        <v>1.895</v>
      </c>
      <c r="K92" s="521">
        <f>+'DLR-Op-Model'!K36</f>
        <v>1.15408171917582</v>
      </c>
      <c r="L92" s="521">
        <f>+'DLR-Op-Model'!L36</f>
        <v>1.64245153676687</v>
      </c>
      <c r="M92" s="559"/>
      <c r="N92" s="302"/>
      <c r="O92" s="302"/>
      <c r="P92" s="560">
        <f t="shared" si="4"/>
        <v>1.64245153676687</v>
      </c>
      <c r="Q92" s="521">
        <f>+'DLR-Op-Model'!M36</f>
        <v>1.68988493479665</v>
      </c>
      <c r="R92" s="521">
        <f>+'DLR-Op-Model'!N36</f>
        <v>2.23986179541889</v>
      </c>
      <c r="S92" s="521">
        <f>+'DLR-Op-Model'!O36</f>
        <v>1.28256735464543</v>
      </c>
      <c r="T92" s="521">
        <f>+'DLR-Op-Model'!P36</f>
        <v>1.82946220512978</v>
      </c>
      <c r="U92" s="521">
        <f>+'DLR-Op-Model'!Q36</f>
        <v>1.88558154317762</v>
      </c>
      <c r="V92" s="521">
        <f>+'DLR-Op-Model'!R36</f>
        <v>2.5547448267423</v>
      </c>
      <c r="W92" s="521">
        <f>+'DLR-Op-Model'!S36</f>
        <v>1.46062625374178</v>
      </c>
      <c r="X92" s="521">
        <f>+'DLR-Op-Model'!T36</f>
        <v>2.07535295356323</v>
      </c>
      <c r="Y92" s="521">
        <f>+'DLR-Op-Model'!U36</f>
        <v>2.13879859839112</v>
      </c>
      <c r="AA92" s="302">
        <f t="shared" ref="AA92:AD92" si="11">SUMIF($F$78:$Y$78,AA$78,$F92:$Y92)</f>
        <v>6.285</v>
      </c>
      <c r="AB92" s="302">
        <f t="shared" si="11"/>
        <v>6.38141819073933</v>
      </c>
      <c r="AC92" s="302">
        <f t="shared" si="11"/>
        <v>7.23747289837171</v>
      </c>
      <c r="AD92" s="302">
        <f t="shared" si="11"/>
        <v>8.22952263243844</v>
      </c>
    </row>
    <row r="93" outlineLevel="1" spans="2:30">
      <c r="B93" s="4"/>
      <c r="C93" s="262" t="s">
        <v>198</v>
      </c>
      <c r="D93" s="181" t="s">
        <v>48</v>
      </c>
      <c r="E93" s="261"/>
      <c r="F93" s="521">
        <f>+'DLR-Op-Model'!F37</f>
        <v>46.963</v>
      </c>
      <c r="G93" s="521">
        <f>+'DLR-Op-Model'!G37</f>
        <v>48.363</v>
      </c>
      <c r="H93" s="521">
        <f>+'DLR-Op-Model'!H37</f>
        <v>53.897</v>
      </c>
      <c r="I93" s="521">
        <f>+'DLR-Op-Model'!I37</f>
        <v>55.094</v>
      </c>
      <c r="J93" s="521">
        <f>+'DLR-Op-Model'!J37</f>
        <v>57.225</v>
      </c>
      <c r="K93" s="521">
        <f>+'DLR-Op-Model'!K37</f>
        <v>55.61745</v>
      </c>
      <c r="L93" s="521">
        <f>+'DLR-Op-Model'!L37</f>
        <v>61.98155</v>
      </c>
      <c r="M93" s="559"/>
      <c r="N93" s="302"/>
      <c r="O93" s="302"/>
      <c r="P93" s="560">
        <f t="shared" si="4"/>
        <v>61.98155</v>
      </c>
      <c r="Q93" s="521">
        <f>+'DLR-Op-Model'!M37</f>
        <v>61.98075</v>
      </c>
      <c r="R93" s="521">
        <f>+'DLR-Op-Model'!N37</f>
        <v>64.378125</v>
      </c>
      <c r="S93" s="521">
        <f>+'DLR-Op-Model'!O37</f>
        <v>61.179195</v>
      </c>
      <c r="T93" s="521">
        <f>+'DLR-Op-Model'!P37</f>
        <v>68.179705</v>
      </c>
      <c r="U93" s="521">
        <f>+'DLR-Op-Model'!Q37</f>
        <v>66.62930625</v>
      </c>
      <c r="V93" s="521">
        <f>+'DLR-Op-Model'!R37</f>
        <v>69.206484375</v>
      </c>
      <c r="W93" s="521">
        <f>+'DLR-Op-Model'!S37</f>
        <v>64.23815475</v>
      </c>
      <c r="X93" s="521">
        <f>+'DLR-Op-Model'!T37</f>
        <v>71.58869025</v>
      </c>
      <c r="Y93" s="521">
        <f>+'DLR-Op-Model'!U37</f>
        <v>69.9607715625</v>
      </c>
      <c r="AA93" s="302">
        <f t="shared" ref="AA93:AD93" si="12">SUMIF($F$78:$Y$78,AA$78,$F93:$Y93)</f>
        <v>204.317</v>
      </c>
      <c r="AB93" s="302">
        <f t="shared" si="12"/>
        <v>236.80475</v>
      </c>
      <c r="AC93" s="302">
        <f t="shared" si="12"/>
        <v>260.36633125</v>
      </c>
      <c r="AD93" s="302">
        <f t="shared" si="12"/>
        <v>274.9941009375</v>
      </c>
    </row>
    <row r="94" outlineLevel="1" spans="2:38">
      <c r="B94" s="4"/>
      <c r="C94" s="265" t="s">
        <v>199</v>
      </c>
      <c r="D94" s="200" t="s">
        <v>48</v>
      </c>
      <c r="E94" s="266"/>
      <c r="F94" s="530">
        <f>+'DLR-Op-Model'!F38</f>
        <v>0.091</v>
      </c>
      <c r="G94" s="530">
        <f>+'DLR-Op-Model'!G38</f>
        <v>0</v>
      </c>
      <c r="H94" s="530">
        <f>+'DLR-Op-Model'!H38</f>
        <v>0.002</v>
      </c>
      <c r="I94" s="530">
        <f>+'DLR-Op-Model'!I38</f>
        <v>33.104</v>
      </c>
      <c r="J94" s="530">
        <f>+'DLR-Op-Model'!J38</f>
        <v>0.035</v>
      </c>
      <c r="K94" s="530">
        <f>+'DLR-Op-Model'!K38</f>
        <v>0</v>
      </c>
      <c r="L94" s="530">
        <f>+'DLR-Op-Model'!L38</f>
        <v>0</v>
      </c>
      <c r="M94" s="567"/>
      <c r="N94" s="303"/>
      <c r="O94" s="303"/>
      <c r="P94" s="568">
        <f t="shared" si="4"/>
        <v>0</v>
      </c>
      <c r="Q94" s="303">
        <f>+'DLR-Op-Model'!M38+'DFT-Op-Model'!M35</f>
        <v>6.553195</v>
      </c>
      <c r="R94" s="530">
        <f>+'DLR-Op-Model'!N38+'DFT-Op-Model'!N35</f>
        <v>3.03784</v>
      </c>
      <c r="S94" s="530">
        <f>+'DLR-Op-Model'!O38+'DFT-Op-Model'!O35</f>
        <v>3.801252</v>
      </c>
      <c r="T94" s="530">
        <f>+'DLR-Op-Model'!P38+'DFT-Op-Model'!P35</f>
        <v>1.446065775</v>
      </c>
      <c r="U94" s="530">
        <f>+'DLR-Op-Model'!Q38+'DFT-Op-Model'!Q35</f>
        <v>6.782556825</v>
      </c>
      <c r="V94" s="530">
        <f>+'DLR-Op-Model'!R38+'DFT-Op-Model'!R35</f>
        <v>3.1289752</v>
      </c>
      <c r="W94" s="530">
        <f>+'DLR-Op-Model'!S38+'DFT-Op-Model'!S35</f>
        <v>3.91528956</v>
      </c>
      <c r="X94" s="530">
        <f>+'DLR-Op-Model'!T38+'DFT-Op-Model'!T35</f>
        <v>1.482217419375</v>
      </c>
      <c r="Y94" s="530">
        <f>+'DLR-Op-Model'!U38+'DFT-Op-Model'!U35</f>
        <v>6.952120745625</v>
      </c>
      <c r="AA94" s="303">
        <f t="shared" ref="AA94:AD94" si="13">SUMIF($F$78:$Y$78,AA$78,$F94:$Y94)</f>
        <v>33.197</v>
      </c>
      <c r="AB94" s="303">
        <f t="shared" si="13"/>
        <v>6.588195</v>
      </c>
      <c r="AC94" s="303">
        <f t="shared" si="13"/>
        <v>15.0677146</v>
      </c>
      <c r="AD94" s="303">
        <f t="shared" si="13"/>
        <v>15.478602925</v>
      </c>
      <c r="AF94" s="108"/>
      <c r="AG94" s="108"/>
      <c r="AH94" s="108"/>
      <c r="AI94" s="108"/>
      <c r="AJ94" s="108"/>
      <c r="AK94" s="108"/>
      <c r="AL94" s="108"/>
    </row>
    <row r="95" outlineLevel="1" spans="2:30">
      <c r="B95" s="4"/>
      <c r="C95" s="268" t="s">
        <v>200</v>
      </c>
      <c r="D95" s="181" t="s">
        <v>48</v>
      </c>
      <c r="E95" s="261"/>
      <c r="F95" s="269">
        <f t="shared" ref="F95:L95" si="14">SUM(F86:F94)</f>
        <v>504.199</v>
      </c>
      <c r="G95" s="269">
        <f t="shared" si="14"/>
        <v>514.934</v>
      </c>
      <c r="H95" s="269">
        <f t="shared" si="14"/>
        <v>546.293</v>
      </c>
      <c r="I95" s="269">
        <f t="shared" si="14"/>
        <v>576.787</v>
      </c>
      <c r="J95" s="269">
        <f t="shared" si="14"/>
        <v>550.569</v>
      </c>
      <c r="K95" s="269">
        <f t="shared" si="14"/>
        <v>529.752689628065</v>
      </c>
      <c r="L95" s="269">
        <f t="shared" si="14"/>
        <v>572.37459812054</v>
      </c>
      <c r="M95" s="569"/>
      <c r="N95" s="269"/>
      <c r="O95" s="269"/>
      <c r="P95" s="570">
        <f t="shared" ref="P95:Y95" si="15">SUM(P86:P94)</f>
        <v>572.37459812054</v>
      </c>
      <c r="Q95" s="269">
        <f t="shared" si="15"/>
        <v>736.128939307174</v>
      </c>
      <c r="R95" s="269">
        <f t="shared" si="15"/>
        <v>770.903180818103</v>
      </c>
      <c r="S95" s="269">
        <f t="shared" si="15"/>
        <v>746.835582606878</v>
      </c>
      <c r="T95" s="269">
        <f t="shared" si="15"/>
        <v>804.787647447511</v>
      </c>
      <c r="U95" s="269">
        <f t="shared" si="15"/>
        <v>831.436255755585</v>
      </c>
      <c r="V95" s="269">
        <f t="shared" si="15"/>
        <v>883.428810636864</v>
      </c>
      <c r="W95" s="269">
        <f t="shared" si="15"/>
        <v>854.554608277543</v>
      </c>
      <c r="X95" s="269">
        <f t="shared" si="15"/>
        <v>916.190727167469</v>
      </c>
      <c r="Y95" s="269">
        <f t="shared" si="15"/>
        <v>947.433877645686</v>
      </c>
      <c r="AA95" s="269">
        <f t="shared" ref="AA95:AD95" si="16">SUM(AA86:AA94)</f>
        <v>2142.213</v>
      </c>
      <c r="AB95" s="269">
        <f t="shared" si="16"/>
        <v>2388.82522705578</v>
      </c>
      <c r="AC95" s="269">
        <f t="shared" si="16"/>
        <v>3153.96266662808</v>
      </c>
      <c r="AD95" s="269">
        <f t="shared" si="16"/>
        <v>3601.60802372756</v>
      </c>
    </row>
    <row r="96" outlineLevel="1" spans="2:18">
      <c r="B96" s="4"/>
      <c r="C96" s="4"/>
      <c r="D96" s="172"/>
      <c r="E96" s="261"/>
      <c r="F96" s="270"/>
      <c r="G96" s="261"/>
      <c r="H96" s="261"/>
      <c r="I96" s="264"/>
      <c r="J96" s="261"/>
      <c r="K96" s="261"/>
      <c r="L96" s="261"/>
      <c r="M96" s="555"/>
      <c r="N96" s="261"/>
      <c r="O96" s="261"/>
      <c r="P96" s="556"/>
      <c r="Q96" s="261"/>
      <c r="R96" s="261"/>
    </row>
    <row r="97" outlineLevel="1" spans="2:18">
      <c r="B97" s="4"/>
      <c r="C97" s="126" t="s">
        <v>201</v>
      </c>
      <c r="D97" s="172"/>
      <c r="E97" s="261"/>
      <c r="F97" s="271"/>
      <c r="G97" s="271"/>
      <c r="H97" s="271"/>
      <c r="I97" s="271"/>
      <c r="J97" s="271"/>
      <c r="K97" s="271"/>
      <c r="L97" s="271"/>
      <c r="M97" s="555"/>
      <c r="N97" s="261"/>
      <c r="O97" s="261"/>
      <c r="P97" s="556"/>
      <c r="Q97" s="261"/>
      <c r="R97" s="261"/>
    </row>
    <row r="98" outlineLevel="1" spans="2:30">
      <c r="B98" s="4"/>
      <c r="C98" s="262" t="s">
        <v>202</v>
      </c>
      <c r="D98" s="181" t="s">
        <v>48</v>
      </c>
      <c r="E98" s="4"/>
      <c r="F98" s="521">
        <f>+'DLR-Op-Model'!F42</f>
        <v>-185.811</v>
      </c>
      <c r="G98" s="521">
        <f>+'DLR-Op-Model'!G42</f>
        <v>-192.853</v>
      </c>
      <c r="H98" s="521">
        <f>+'DLR-Op-Model'!H42</f>
        <v>-206.297</v>
      </c>
      <c r="I98" s="521">
        <f>+'DLR-Op-Model'!I42</f>
        <v>-207.695</v>
      </c>
      <c r="J98" s="521">
        <f>+'DLR-Op-Model'!J42</f>
        <v>-202.173</v>
      </c>
      <c r="K98" s="521">
        <f>+'DLR-Op-Model'!K42</f>
        <v>-191.94093882</v>
      </c>
      <c r="L98" s="521">
        <f>+'DLR-Op-Model'!L42</f>
        <v>-204.4826888</v>
      </c>
      <c r="M98" s="559"/>
      <c r="N98" s="302"/>
      <c r="O98" s="302"/>
      <c r="P98" s="560">
        <f>+L98</f>
        <v>-204.4826888</v>
      </c>
      <c r="Q98" s="302">
        <f>+'DLR-Op-Model'!M42+'DFT-Op-Model'!M39</f>
        <v>-251.5987476</v>
      </c>
      <c r="R98" s="302">
        <f>+'DLR-Op-Model'!N42+'DFT-Op-Model'!N39</f>
        <v>-250.956115</v>
      </c>
      <c r="S98" s="302">
        <f>+'DLR-Op-Model'!O42+'DFT-Op-Model'!O39</f>
        <v>-235.88097406038</v>
      </c>
      <c r="T98" s="302">
        <f>+'DLR-Op-Model'!P42+'DFT-Op-Model'!P39</f>
        <v>-248.5758898736</v>
      </c>
      <c r="U98" s="302">
        <f>+'DLR-Op-Model'!Q42+'DFT-Op-Model'!Q39</f>
        <v>-250.6476751092</v>
      </c>
      <c r="V98" s="302">
        <f>+'DLR-Op-Model'!R42+'DFT-Op-Model'!R39</f>
        <v>-253.805784965</v>
      </c>
      <c r="W98" s="302">
        <f>+'DLR-Op-Model'!S42+'DFT-Op-Model'!S39</f>
        <v>-235.998148895753</v>
      </c>
      <c r="X98" s="302">
        <f>+'DLR-Op-Model'!T42+'DFT-Op-Model'!T39</f>
        <v>-248.143108747959</v>
      </c>
      <c r="Y98" s="302">
        <f>+'DLR-Op-Model'!U42+'DFT-Op-Model'!U39</f>
        <v>-249.987162038645</v>
      </c>
      <c r="AA98" s="302">
        <f t="shared" ref="AA98:AD98" si="17">SUMIF($F$78:$Y$78,AA$78,$F98:$Y98)</f>
        <v>-792.656</v>
      </c>
      <c r="AB98" s="302">
        <f t="shared" si="17"/>
        <v>-850.19537522</v>
      </c>
      <c r="AC98" s="302">
        <f t="shared" si="17"/>
        <v>-986.06065404318</v>
      </c>
      <c r="AD98" s="302">
        <f t="shared" si="17"/>
        <v>-987.934204647357</v>
      </c>
    </row>
    <row r="99" outlineLevel="1" spans="2:43">
      <c r="B99" s="4"/>
      <c r="C99" s="262" t="s">
        <v>203</v>
      </c>
      <c r="D99" s="181" t="s">
        <v>48</v>
      </c>
      <c r="E99" s="4"/>
      <c r="F99" s="521">
        <f>+'DLR-Op-Model'!F43</f>
        <v>0</v>
      </c>
      <c r="G99" s="521">
        <f>+'DLR-Op-Model'!G43</f>
        <v>0</v>
      </c>
      <c r="H99" s="521">
        <f>+'DLR-Op-Model'!H43</f>
        <v>0</v>
      </c>
      <c r="I99" s="521">
        <f>+'DLR-Op-Model'!I43</f>
        <v>0</v>
      </c>
      <c r="J99" s="521">
        <f>+'DLR-Op-Model'!J43</f>
        <v>0</v>
      </c>
      <c r="K99" s="521">
        <f>+'DLR-Op-Model'!K43</f>
        <v>-4.25295343988881</v>
      </c>
      <c r="L99" s="521">
        <f>+'DLR-Op-Model'!L43</f>
        <v>-8.95261973577313</v>
      </c>
      <c r="M99" s="559"/>
      <c r="N99" s="302"/>
      <c r="O99" s="302"/>
      <c r="P99" s="560">
        <f>+L99</f>
        <v>-8.95261973577313</v>
      </c>
      <c r="Q99" s="302">
        <f>+'DLR-Op-Model'!M43+'DFT-Op-Model'!M40</f>
        <v>-20.4290326796448</v>
      </c>
      <c r="R99" s="302">
        <f>+'DLR-Op-Model'!N43+'DFT-Op-Model'!N40</f>
        <v>-27.8213403719525</v>
      </c>
      <c r="S99" s="302">
        <f>+'DLR-Op-Model'!O43+'DFT-Op-Model'!O40</f>
        <v>-37.2697135477691</v>
      </c>
      <c r="T99" s="302">
        <f>+'DLR-Op-Model'!P43+'DFT-Op-Model'!P40</f>
        <v>-46.7651668291929</v>
      </c>
      <c r="U99" s="302">
        <f>+'DLR-Op-Model'!Q43+'DFT-Op-Model'!Q40</f>
        <v>-56.6113008498114</v>
      </c>
      <c r="V99" s="302">
        <f>+'DLR-Op-Model'!R43+'DFT-Op-Model'!R40</f>
        <v>-67.2833288218394</v>
      </c>
      <c r="W99" s="302">
        <f>+'DLR-Op-Model'!S43+'DFT-Op-Model'!S40</f>
        <v>-78.1719403576282</v>
      </c>
      <c r="X99" s="302">
        <f>+'DLR-Op-Model'!T43+'DFT-Op-Model'!T40</f>
        <v>-89.5482473654146</v>
      </c>
      <c r="Y99" s="302">
        <f>+'DLR-Op-Model'!U43+'DFT-Op-Model'!U40</f>
        <v>-101.332955269195</v>
      </c>
      <c r="AA99" s="302">
        <f t="shared" ref="AA99:AD99" si="18">SUMIF($F$78:$Y$78,AA$78,$F99:$Y99)</f>
        <v>0</v>
      </c>
      <c r="AB99" s="302">
        <f t="shared" si="18"/>
        <v>-33.6346058553068</v>
      </c>
      <c r="AC99" s="302">
        <f t="shared" si="18"/>
        <v>-168.467521598726</v>
      </c>
      <c r="AD99" s="302">
        <f t="shared" si="18"/>
        <v>-336.336471814077</v>
      </c>
      <c r="AN99" s="108"/>
      <c r="AO99" s="108"/>
      <c r="AP99" s="108"/>
      <c r="AQ99" s="108"/>
    </row>
    <row r="100" outlineLevel="1" spans="2:30">
      <c r="B100" s="4"/>
      <c r="C100" s="522" t="s">
        <v>204</v>
      </c>
      <c r="D100" s="523" t="s">
        <v>48</v>
      </c>
      <c r="E100" s="531"/>
      <c r="F100" s="525"/>
      <c r="G100" s="525"/>
      <c r="H100" s="525"/>
      <c r="I100" s="525"/>
      <c r="J100" s="525"/>
      <c r="K100" s="525"/>
      <c r="L100" s="525"/>
      <c r="M100" s="561"/>
      <c r="N100" s="562"/>
      <c r="O100" s="562"/>
      <c r="P100" s="563"/>
      <c r="Q100" s="562">
        <f>Annual_Cost_Synergies*IF(Q$79&lt;=1,Synergy_Year_1_Pct,Synergy_Year_2_Pct)/Num_Periods</f>
        <v>2.25</v>
      </c>
      <c r="R100" s="562">
        <f>Annual_Cost_Synergies*IF(R$79&lt;=1,Synergy_Year_1_Pct,Synergy_Year_2_Pct)/Num_Periods</f>
        <v>2.25</v>
      </c>
      <c r="S100" s="562">
        <f>Annual_Cost_Synergies*IF(S$79&lt;=1,Synergy_Year_1_Pct,Synergy_Year_2_Pct)/Num_Periods</f>
        <v>2.25</v>
      </c>
      <c r="T100" s="562">
        <f>Annual_Cost_Synergies*IF(T$79&lt;=1,Synergy_Year_1_Pct,Synergy_Year_2_Pct)/Num_Periods</f>
        <v>2.25</v>
      </c>
      <c r="U100" s="562">
        <f>Annual_Cost_Synergies*IF(U$79&lt;=1,Synergy_Year_1_Pct,Synergy_Year_2_Pct)/Num_Periods</f>
        <v>4.5</v>
      </c>
      <c r="V100" s="562">
        <f>Annual_Cost_Synergies*IF(V$79&lt;=1,Synergy_Year_1_Pct,Synergy_Year_2_Pct)/Num_Periods</f>
        <v>4.5</v>
      </c>
      <c r="W100" s="562">
        <f>Annual_Cost_Synergies*IF(W$79&lt;=1,Synergy_Year_1_Pct,Synergy_Year_2_Pct)/Num_Periods</f>
        <v>4.5</v>
      </c>
      <c r="X100" s="562">
        <f>Annual_Cost_Synergies*IF(X$79&lt;=1,Synergy_Year_1_Pct,Synergy_Year_2_Pct)/Num_Periods</f>
        <v>4.5</v>
      </c>
      <c r="Y100" s="562">
        <f>Annual_Cost_Synergies*IF(Y$79&lt;=1,Synergy_Year_1_Pct,Synergy_Year_2_Pct)/Num_Periods</f>
        <v>4.5</v>
      </c>
      <c r="AA100" s="562">
        <f t="shared" ref="AA100:AD100" si="19">SUMIF($F$78:$Y$78,AA$78,$F100:$Y100)</f>
        <v>0</v>
      </c>
      <c r="AB100" s="562">
        <f t="shared" si="19"/>
        <v>2.25</v>
      </c>
      <c r="AC100" s="562">
        <f t="shared" si="19"/>
        <v>11.25</v>
      </c>
      <c r="AD100" s="562">
        <f t="shared" si="19"/>
        <v>18</v>
      </c>
    </row>
    <row r="101" outlineLevel="1" spans="2:30">
      <c r="B101" s="4"/>
      <c r="C101" s="532" t="s">
        <v>205</v>
      </c>
      <c r="D101" s="533" t="s">
        <v>48</v>
      </c>
      <c r="E101" s="534"/>
      <c r="F101" s="535"/>
      <c r="G101" s="535"/>
      <c r="H101" s="535"/>
      <c r="I101" s="535"/>
      <c r="J101" s="535"/>
      <c r="K101" s="535"/>
      <c r="L101" s="535"/>
      <c r="M101" s="571"/>
      <c r="N101" s="572"/>
      <c r="O101" s="572"/>
      <c r="P101" s="573"/>
      <c r="Q101" s="572">
        <f>-Annual_Cost_Synergies*IF(Q$79&lt;=1,Merger_Integ_Pct,0)/Num_Periods</f>
        <v>-6.75</v>
      </c>
      <c r="R101" s="572">
        <f>-Annual_Cost_Synergies*IF(R$79&lt;=1,Merger_Integ_Pct,0)/Num_Periods</f>
        <v>-6.75</v>
      </c>
      <c r="S101" s="572">
        <f>-Annual_Cost_Synergies*IF(S$79&lt;=1,Merger_Integ_Pct,0)/Num_Periods</f>
        <v>-6.75</v>
      </c>
      <c r="T101" s="572">
        <f>-Annual_Cost_Synergies*IF(T$79&lt;=1,Merger_Integ_Pct,0)/Num_Periods</f>
        <v>-6.75</v>
      </c>
      <c r="U101" s="572">
        <f>-Annual_Cost_Synergies*IF(U$79&lt;=1,Merger_Integ_Pct,0)/Num_Periods</f>
        <v>0</v>
      </c>
      <c r="V101" s="572">
        <f>-Annual_Cost_Synergies*IF(V$79&lt;=1,Merger_Integ_Pct,0)/Num_Periods</f>
        <v>0</v>
      </c>
      <c r="W101" s="572">
        <f>-Annual_Cost_Synergies*IF(W$79&lt;=1,Merger_Integ_Pct,0)/Num_Periods</f>
        <v>0</v>
      </c>
      <c r="X101" s="572">
        <f>-Annual_Cost_Synergies*IF(X$79&lt;=1,Merger_Integ_Pct,0)/Num_Periods</f>
        <v>0</v>
      </c>
      <c r="Y101" s="572">
        <f>-Annual_Cost_Synergies*IF(Y$79&lt;=1,Merger_Integ_Pct,0)/Num_Periods</f>
        <v>0</v>
      </c>
      <c r="AA101" s="572">
        <f t="shared" ref="AA101:AD101" si="20">SUMIF($F$78:$Y$78,AA$78,$F101:$Y101)</f>
        <v>0</v>
      </c>
      <c r="AB101" s="572">
        <f t="shared" si="20"/>
        <v>-6.75</v>
      </c>
      <c r="AC101" s="572">
        <f t="shared" si="20"/>
        <v>-20.25</v>
      </c>
      <c r="AD101" s="572">
        <f t="shared" si="20"/>
        <v>0</v>
      </c>
    </row>
    <row r="102" outlineLevel="1" spans="2:30">
      <c r="B102" s="4"/>
      <c r="C102" s="536" t="s">
        <v>206</v>
      </c>
      <c r="D102" s="533" t="s">
        <v>48</v>
      </c>
      <c r="E102" s="534"/>
      <c r="F102" s="535"/>
      <c r="G102" s="535"/>
      <c r="H102" s="535"/>
      <c r="I102" s="535"/>
      <c r="J102" s="535"/>
      <c r="K102" s="535"/>
      <c r="L102" s="535"/>
      <c r="M102" s="571"/>
      <c r="N102" s="572"/>
      <c r="O102" s="572"/>
      <c r="P102" s="573"/>
      <c r="Q102" s="572">
        <f>-MIN($P$66/$P$67/Num_Periods,$P$66+SUM($P102:P102))</f>
        <v>-28.3904411489766</v>
      </c>
      <c r="R102" s="572">
        <f>-MIN($P$66/$P$67/Num_Periods,$P$66+SUM($P102:Q102))</f>
        <v>-28.3904411489766</v>
      </c>
      <c r="S102" s="572">
        <f>-MIN($P$66/$P$67/Num_Periods,$P$66+SUM($P102:R102))</f>
        <v>-28.3904411489766</v>
      </c>
      <c r="T102" s="572">
        <f>-MIN($P$66/$P$67/Num_Periods,$P$66+SUM($P102:S102))</f>
        <v>-28.3904411489766</v>
      </c>
      <c r="U102" s="572">
        <f>-MIN($P$66/$P$67/Num_Periods,$P$66+SUM($P102:T102))</f>
        <v>-28.3904411489766</v>
      </c>
      <c r="V102" s="572">
        <f>-MIN($P$66/$P$67/Num_Periods,$P$66+SUM($P102:U102))</f>
        <v>-28.3904411489766</v>
      </c>
      <c r="W102" s="572">
        <f>-MIN($P$66/$P$67/Num_Periods,$P$66+SUM($P102:V102))</f>
        <v>-28.3904411489766</v>
      </c>
      <c r="X102" s="572">
        <f>-MIN($P$66/$P$67/Num_Periods,$P$66+SUM($P102:W102))</f>
        <v>-28.3904411489766</v>
      </c>
      <c r="Y102" s="572">
        <f>-MIN($P$66/$P$67/Num_Periods,$P$66+SUM($P102:X102))</f>
        <v>-28.3904411489766</v>
      </c>
      <c r="AA102" s="572">
        <f t="shared" ref="AA102:AD102" si="21">SUMIF($F$78:$Y$78,AA$78,$F102:$Y102)</f>
        <v>0</v>
      </c>
      <c r="AB102" s="572">
        <f t="shared" si="21"/>
        <v>-28.3904411489766</v>
      </c>
      <c r="AC102" s="572">
        <f t="shared" si="21"/>
        <v>-113.561764595907</v>
      </c>
      <c r="AD102" s="572">
        <f t="shared" si="21"/>
        <v>-113.561764595907</v>
      </c>
    </row>
    <row r="103" outlineLevel="1" spans="2:40">
      <c r="B103" s="4"/>
      <c r="C103" s="526" t="s">
        <v>207</v>
      </c>
      <c r="D103" s="527" t="s">
        <v>48</v>
      </c>
      <c r="E103" s="537"/>
      <c r="F103" s="529"/>
      <c r="G103" s="529"/>
      <c r="H103" s="529"/>
      <c r="I103" s="529"/>
      <c r="J103" s="529"/>
      <c r="K103" s="529"/>
      <c r="L103" s="529"/>
      <c r="M103" s="564"/>
      <c r="N103" s="565"/>
      <c r="O103" s="565"/>
      <c r="P103" s="566"/>
      <c r="Q103" s="565">
        <f>-MIN($J$56/$J$57/Num_Periods,$J$56+SUM($P103:P103))</f>
        <v>-1.07099768625884</v>
      </c>
      <c r="R103" s="565">
        <f>-MIN($J$56/$J$57/Num_Periods,$J$56+SUM($P103:Q103))</f>
        <v>-1.07099768625884</v>
      </c>
      <c r="S103" s="565">
        <f>-MIN($J$56/$J$57/Num_Periods,$J$56+SUM($P103:R103))</f>
        <v>-1.07099768625884</v>
      </c>
      <c r="T103" s="565">
        <f>-MIN($J$56/$J$57/Num_Periods,$J$56+SUM($P103:S103))</f>
        <v>-1.07099768625884</v>
      </c>
      <c r="U103" s="565">
        <f>-MIN($J$56/$J$57/Num_Periods,$J$56+SUM($P103:T103))</f>
        <v>-1.07099768625884</v>
      </c>
      <c r="V103" s="565">
        <f>-MIN($J$56/$J$57/Num_Periods,$J$56+SUM($P103:U103))</f>
        <v>-1.07099768625884</v>
      </c>
      <c r="W103" s="565">
        <f>-MIN($J$56/$J$57/Num_Periods,$J$56+SUM($P103:V103))</f>
        <v>-1.07099768625884</v>
      </c>
      <c r="X103" s="565">
        <f>-MIN($J$56/$J$57/Num_Periods,$J$56+SUM($P103:W103))</f>
        <v>-1.07099768625884</v>
      </c>
      <c r="Y103" s="565">
        <f>-MIN($J$56/$J$57/Num_Periods,$J$56+SUM($P103:X103))</f>
        <v>-1.07099768625884</v>
      </c>
      <c r="AA103" s="565">
        <f t="shared" ref="AA103:AD103" si="22">SUMIF($F$78:$Y$78,AA$78,$F103:$Y103)</f>
        <v>0</v>
      </c>
      <c r="AB103" s="565">
        <f t="shared" si="22"/>
        <v>-1.07099768625884</v>
      </c>
      <c r="AC103" s="565">
        <f t="shared" si="22"/>
        <v>-4.28399074503537</v>
      </c>
      <c r="AD103" s="565">
        <f t="shared" si="22"/>
        <v>-4.28399074503537</v>
      </c>
      <c r="AF103" s="108"/>
      <c r="AG103" s="108"/>
      <c r="AH103" s="108"/>
      <c r="AI103" s="108"/>
      <c r="AJ103" s="108"/>
      <c r="AK103" s="108"/>
      <c r="AL103" s="108"/>
      <c r="AM103" s="108"/>
      <c r="AN103" s="108"/>
    </row>
    <row r="104" outlineLevel="1" spans="2:30">
      <c r="B104" s="4"/>
      <c r="C104" s="262" t="s">
        <v>208</v>
      </c>
      <c r="D104" s="181" t="s">
        <v>48</v>
      </c>
      <c r="E104" s="4"/>
      <c r="F104" s="521">
        <f>+'DLR-Op-Model'!F44</f>
        <v>-31.256</v>
      </c>
      <c r="G104" s="521">
        <f>+'DLR-Op-Model'!G44</f>
        <v>-34.189</v>
      </c>
      <c r="H104" s="521">
        <f>+'DLR-Op-Model'!H44</f>
        <v>-46.135</v>
      </c>
      <c r="I104" s="521">
        <f>+'DLR-Op-Model'!I44</f>
        <v>-41.153</v>
      </c>
      <c r="J104" s="521">
        <f>+'DLR-Op-Model'!J44</f>
        <v>-34.647</v>
      </c>
      <c r="K104" s="521">
        <f>+'DLR-Op-Model'!K44</f>
        <v>-34.4339248258242</v>
      </c>
      <c r="L104" s="521">
        <f>+'DLR-Op-Model'!L44</f>
        <v>-45.7899678496432</v>
      </c>
      <c r="M104" s="559"/>
      <c r="N104" s="302"/>
      <c r="O104" s="302"/>
      <c r="P104" s="560">
        <f t="shared" ref="P104:P106" si="23">+L104</f>
        <v>-45.7899678496432</v>
      </c>
      <c r="Q104" s="302">
        <f>+'DLR-Op-Model'!M44+'DFT-Op-Model'!M41</f>
        <v>-48.2596829978672</v>
      </c>
      <c r="R104" s="302">
        <f>+'DLR-Op-Model'!N44+'DFT-Op-Model'!N41</f>
        <v>-44.777003307558</v>
      </c>
      <c r="S104" s="302">
        <f>+'DLR-Op-Model'!O44+'DFT-Op-Model'!O41</f>
        <v>-44.991348581411</v>
      </c>
      <c r="T104" s="302">
        <f>+'DLR-Op-Model'!P44+'DFT-Op-Model'!P41</f>
        <v>-58.0296498750692</v>
      </c>
      <c r="U104" s="302">
        <f>+'DLR-Op-Model'!Q44+'DFT-Op-Model'!Q41</f>
        <v>-54.241730228705</v>
      </c>
      <c r="V104" s="302">
        <f>+'DLR-Op-Model'!R44+'DFT-Op-Model'!R41</f>
        <v>-51.1904741700832</v>
      </c>
      <c r="W104" s="302">
        <f>+'DLR-Op-Model'!S44+'DFT-Op-Model'!S41</f>
        <v>-51.2317582464078</v>
      </c>
      <c r="X104" s="302">
        <f>+'DLR-Op-Model'!T44+'DFT-Op-Model'!T41</f>
        <v>-65.6724396690073</v>
      </c>
      <c r="Y104" s="302">
        <f>+'DLR-Op-Model'!U44+'DFT-Op-Model'!U41</f>
        <v>-61.5732833393301</v>
      </c>
      <c r="AA104" s="302">
        <f t="shared" ref="AA104:AD104" si="24">SUMIF($F$78:$Y$78,AA$78,$F104:$Y104)</f>
        <v>-152.733</v>
      </c>
      <c r="AB104" s="302">
        <f t="shared" si="24"/>
        <v>-163.130575673335</v>
      </c>
      <c r="AC104" s="302">
        <f t="shared" si="24"/>
        <v>-202.039731992743</v>
      </c>
      <c r="AD104" s="302">
        <f t="shared" si="24"/>
        <v>-229.667955424829</v>
      </c>
    </row>
    <row r="105" outlineLevel="1" spans="3:30">
      <c r="C105" s="262" t="s">
        <v>209</v>
      </c>
      <c r="D105" s="181" t="s">
        <v>48</v>
      </c>
      <c r="F105" s="521">
        <f>+'DLR-Op-Model'!F45</f>
        <v>-169.016</v>
      </c>
      <c r="G105" s="521">
        <f>+'DLR-Op-Model'!G45</f>
        <v>-175.594</v>
      </c>
      <c r="H105" s="521">
        <f>+'DLR-Op-Model'!H45</f>
        <v>-178.133</v>
      </c>
      <c r="I105" s="521">
        <f>+'DLR-Op-Model'!I45</f>
        <v>-176.581</v>
      </c>
      <c r="J105" s="521">
        <f>+'DLR-Op-Model'!J45</f>
        <v>-176.466</v>
      </c>
      <c r="K105" s="521">
        <f>+'DLR-Op-Model'!K45</f>
        <v>-180.115914473542</v>
      </c>
      <c r="L105" s="521">
        <f>+'DLR-Op-Model'!L45</f>
        <v>-188.883617379778</v>
      </c>
      <c r="M105" s="559"/>
      <c r="N105" s="302"/>
      <c r="O105" s="302"/>
      <c r="P105" s="560">
        <f t="shared" si="23"/>
        <v>-188.883617379778</v>
      </c>
      <c r="Q105" s="302">
        <f>+'DLR-Op-Model'!M45+'DFT-Op-Model'!M42</f>
        <v>-211.880398949398</v>
      </c>
      <c r="R105" s="302">
        <f>+'DLR-Op-Model'!N45+'DFT-Op-Model'!N42</f>
        <v>-232.207023331375</v>
      </c>
      <c r="S105" s="302">
        <f>+'DLR-Op-Model'!O45+'DFT-Op-Model'!O42</f>
        <v>-233.715253251949</v>
      </c>
      <c r="T105" s="302">
        <f>+'DLR-Op-Model'!P45+'DFT-Op-Model'!P42</f>
        <v>-245.716143340779</v>
      </c>
      <c r="U105" s="302">
        <f>+'DLR-Op-Model'!Q45+'DFT-Op-Model'!Q42</f>
        <v>-238.029817633226</v>
      </c>
      <c r="V105" s="302">
        <f>+'DLR-Op-Model'!R45+'DFT-Op-Model'!R42</f>
        <v>-265.059581469969</v>
      </c>
      <c r="W105" s="302">
        <f>+'DLR-Op-Model'!S45+'DFT-Op-Model'!S42</f>
        <v>-266.045034782</v>
      </c>
      <c r="X105" s="302">
        <f>+'DLR-Op-Model'!T45+'DFT-Op-Model'!T42</f>
        <v>-278.417881899998</v>
      </c>
      <c r="Y105" s="302">
        <f>+'DLR-Op-Model'!U45+'DFT-Op-Model'!U42</f>
        <v>-270.106531025886</v>
      </c>
      <c r="AA105" s="302">
        <f t="shared" ref="AA105:AD105" si="25">SUMIF($F$78:$Y$78,AA$78,$F105:$Y105)</f>
        <v>-699.324</v>
      </c>
      <c r="AB105" s="302">
        <f t="shared" si="25"/>
        <v>-757.345930802718</v>
      </c>
      <c r="AC105" s="302">
        <f t="shared" si="25"/>
        <v>-949.668237557328</v>
      </c>
      <c r="AD105" s="302">
        <f t="shared" si="25"/>
        <v>-1079.62902917785</v>
      </c>
    </row>
    <row r="106" outlineLevel="1" spans="3:30">
      <c r="C106" s="262" t="s">
        <v>210</v>
      </c>
      <c r="D106" s="200" t="s">
        <v>48</v>
      </c>
      <c r="F106" s="521">
        <f>+'DLR-Op-Model'!F46</f>
        <v>0</v>
      </c>
      <c r="G106" s="521">
        <f>+'DLR-Op-Model'!G46</f>
        <v>0</v>
      </c>
      <c r="H106" s="521">
        <f>+'DLR-Op-Model'!H46</f>
        <v>0.022</v>
      </c>
      <c r="I106" s="521">
        <f>+'DLR-Op-Model'!I46</f>
        <v>-0.236</v>
      </c>
      <c r="J106" s="521">
        <f>+'DLR-Op-Model'!J46</f>
        <v>0</v>
      </c>
      <c r="K106" s="521">
        <f>+'DLR-Op-Model'!K46</f>
        <v>0</v>
      </c>
      <c r="L106" s="521">
        <f>+'DLR-Op-Model'!L46</f>
        <v>0</v>
      </c>
      <c r="M106" s="567"/>
      <c r="N106" s="303"/>
      <c r="O106" s="303"/>
      <c r="P106" s="568">
        <f t="shared" si="23"/>
        <v>0</v>
      </c>
      <c r="Q106" s="303">
        <f>+'DLR-Op-Model'!M46+'DFT-Op-Model'!M43</f>
        <v>-5.3905266491871</v>
      </c>
      <c r="R106" s="303">
        <f>+'DLR-Op-Model'!N46+'DFT-Op-Model'!N43</f>
        <v>-2.49886619823865</v>
      </c>
      <c r="S106" s="303">
        <f>+'DLR-Op-Model'!O46+'DFT-Op-Model'!O43</f>
        <v>-3.12683358366045</v>
      </c>
      <c r="T106" s="303">
        <f>+'DLR-Op-Model'!P46+'DFT-Op-Model'!P43</f>
        <v>-1.18950467620983</v>
      </c>
      <c r="U106" s="303">
        <f>+'DLR-Op-Model'!Q46+'DFT-Op-Model'!Q43</f>
        <v>-5.57919508190865</v>
      </c>
      <c r="V106" s="303">
        <f>+'DLR-Op-Model'!R46+'DFT-Op-Model'!R43</f>
        <v>-2.57383218418581</v>
      </c>
      <c r="W106" s="303">
        <f>+'DLR-Op-Model'!S46+'DFT-Op-Model'!S43</f>
        <v>-3.22063859117027</v>
      </c>
      <c r="X106" s="303">
        <f>+'DLR-Op-Model'!T46+'DFT-Op-Model'!T43</f>
        <v>-1.21924229311508</v>
      </c>
      <c r="Y106" s="303">
        <f>+'DLR-Op-Model'!U46+'DFT-Op-Model'!U43</f>
        <v>-5.71867495895637</v>
      </c>
      <c r="AA106" s="303">
        <f t="shared" ref="AA106:AD106" si="26">SUMIF($F$78:$Y$78,AA$78,$F106:$Y106)</f>
        <v>-0.214</v>
      </c>
      <c r="AB106" s="303">
        <f t="shared" si="26"/>
        <v>-5.3905266491871</v>
      </c>
      <c r="AC106" s="303">
        <f t="shared" si="26"/>
        <v>-12.3943995400176</v>
      </c>
      <c r="AD106" s="303">
        <f t="shared" si="26"/>
        <v>-12.7323880274275</v>
      </c>
    </row>
    <row r="107" outlineLevel="1" spans="3:30">
      <c r="C107" s="189" t="s">
        <v>211</v>
      </c>
      <c r="D107" s="181" t="s">
        <v>48</v>
      </c>
      <c r="E107" s="212"/>
      <c r="F107" s="272">
        <f t="shared" ref="F107:L107" si="27">SUM(F98:F106)</f>
        <v>-386.083</v>
      </c>
      <c r="G107" s="272">
        <f t="shared" si="27"/>
        <v>-402.636</v>
      </c>
      <c r="H107" s="272">
        <f t="shared" si="27"/>
        <v>-430.543</v>
      </c>
      <c r="I107" s="272">
        <f t="shared" si="27"/>
        <v>-425.665</v>
      </c>
      <c r="J107" s="272">
        <f t="shared" si="27"/>
        <v>-413.286</v>
      </c>
      <c r="K107" s="272">
        <f t="shared" si="27"/>
        <v>-410.743731559255</v>
      </c>
      <c r="L107" s="272">
        <f t="shared" si="27"/>
        <v>-448.108893765195</v>
      </c>
      <c r="M107" s="574"/>
      <c r="N107" s="272"/>
      <c r="O107" s="272"/>
      <c r="P107" s="575">
        <f t="shared" ref="P107:Y107" si="28">SUM(P98:P106)</f>
        <v>-448.108893765195</v>
      </c>
      <c r="Q107" s="272">
        <f t="shared" si="28"/>
        <v>-571.519827711333</v>
      </c>
      <c r="R107" s="272">
        <f t="shared" si="28"/>
        <v>-592.22178704436</v>
      </c>
      <c r="S107" s="272">
        <f t="shared" si="28"/>
        <v>-588.945561860405</v>
      </c>
      <c r="T107" s="272">
        <f t="shared" si="28"/>
        <v>-634.237793430086</v>
      </c>
      <c r="U107" s="272">
        <f t="shared" si="28"/>
        <v>-630.071157738086</v>
      </c>
      <c r="V107" s="272">
        <f t="shared" si="28"/>
        <v>-664.874440446313</v>
      </c>
      <c r="W107" s="272">
        <f t="shared" si="28"/>
        <v>-659.628959708195</v>
      </c>
      <c r="X107" s="272">
        <f t="shared" si="28"/>
        <v>-707.96235881073</v>
      </c>
      <c r="Y107" s="272">
        <f t="shared" si="28"/>
        <v>-713.680045467248</v>
      </c>
      <c r="AA107" s="269">
        <f t="shared" ref="AA107:AD107" si="29">SUM(AA98:AA106)</f>
        <v>-1644.927</v>
      </c>
      <c r="AB107" s="269">
        <f t="shared" si="29"/>
        <v>-1843.65845303578</v>
      </c>
      <c r="AC107" s="269">
        <f t="shared" si="29"/>
        <v>-2445.47630007294</v>
      </c>
      <c r="AD107" s="269">
        <f t="shared" si="29"/>
        <v>-2746.14580443248</v>
      </c>
    </row>
    <row r="108" outlineLevel="1" spans="7:16">
      <c r="G108" s="273"/>
      <c r="M108" s="576"/>
      <c r="P108" s="577"/>
    </row>
    <row r="109" outlineLevel="1" spans="3:30">
      <c r="C109" s="193" t="s">
        <v>212</v>
      </c>
      <c r="D109" s="181" t="s">
        <v>48</v>
      </c>
      <c r="F109" s="269">
        <f t="shared" ref="F109:L109" si="30">+F95+F107</f>
        <v>118.116</v>
      </c>
      <c r="G109" s="269">
        <f t="shared" si="30"/>
        <v>112.298</v>
      </c>
      <c r="H109" s="269">
        <f t="shared" si="30"/>
        <v>115.75</v>
      </c>
      <c r="I109" s="269">
        <f t="shared" si="30"/>
        <v>151.122</v>
      </c>
      <c r="J109" s="269">
        <f t="shared" si="30"/>
        <v>137.283</v>
      </c>
      <c r="K109" s="269">
        <f t="shared" si="30"/>
        <v>119.00895806881</v>
      </c>
      <c r="L109" s="269">
        <f t="shared" si="30"/>
        <v>124.265704355345</v>
      </c>
      <c r="M109" s="569"/>
      <c r="N109" s="269"/>
      <c r="O109" s="269"/>
      <c r="P109" s="570">
        <f t="shared" ref="P109:Y109" si="31">+P95+P107</f>
        <v>124.265704355345</v>
      </c>
      <c r="Q109" s="269">
        <f t="shared" si="31"/>
        <v>164.609111595841</v>
      </c>
      <c r="R109" s="269">
        <f t="shared" si="31"/>
        <v>178.681393773744</v>
      </c>
      <c r="S109" s="269">
        <f t="shared" si="31"/>
        <v>157.890020746473</v>
      </c>
      <c r="T109" s="269">
        <f t="shared" si="31"/>
        <v>170.549854017425</v>
      </c>
      <c r="U109" s="269">
        <f t="shared" si="31"/>
        <v>201.365098017499</v>
      </c>
      <c r="V109" s="269">
        <f t="shared" si="31"/>
        <v>218.554370190551</v>
      </c>
      <c r="W109" s="269">
        <f t="shared" si="31"/>
        <v>194.925648569348</v>
      </c>
      <c r="X109" s="269">
        <f t="shared" si="31"/>
        <v>208.228368356739</v>
      </c>
      <c r="Y109" s="269">
        <f t="shared" si="31"/>
        <v>233.753832178438</v>
      </c>
      <c r="AA109" s="269">
        <f t="shared" ref="AA109:AD109" si="32">+AA95+AA107</f>
        <v>497.286</v>
      </c>
      <c r="AB109" s="269">
        <f t="shared" si="32"/>
        <v>545.166774019996</v>
      </c>
      <c r="AC109" s="269">
        <f t="shared" si="32"/>
        <v>708.486366555139</v>
      </c>
      <c r="AD109" s="269">
        <f t="shared" si="32"/>
        <v>855.462219295076</v>
      </c>
    </row>
    <row r="110" outlineLevel="1" spans="6:30">
      <c r="F110" s="274"/>
      <c r="M110" s="576"/>
      <c r="P110" s="577"/>
      <c r="AB110" s="271"/>
      <c r="AC110" s="271"/>
      <c r="AD110" s="271"/>
    </row>
    <row r="111" outlineLevel="1" spans="3:30">
      <c r="C111" s="51" t="s">
        <v>213</v>
      </c>
      <c r="D111" s="181" t="s">
        <v>48</v>
      </c>
      <c r="F111" s="521">
        <f>+'DLR-Op-Model'!F51</f>
        <v>4.078</v>
      </c>
      <c r="G111" s="521">
        <f>+'DLR-Op-Model'!G51</f>
        <v>4.132</v>
      </c>
      <c r="H111" s="521">
        <f>+'DLR-Op-Model'!H51</f>
        <v>4.152</v>
      </c>
      <c r="I111" s="521">
        <f>+'DLR-Op-Model'!I51</f>
        <v>4.742</v>
      </c>
      <c r="J111" s="521">
        <f>+'DLR-Op-Model'!J51</f>
        <v>5.324</v>
      </c>
      <c r="K111" s="521">
        <f>+'DLR-Op-Model'!K51</f>
        <v>4.9584</v>
      </c>
      <c r="L111" s="521">
        <f>+'DLR-Op-Model'!L51</f>
        <v>4.7748</v>
      </c>
      <c r="M111" s="559"/>
      <c r="N111" s="302"/>
      <c r="O111" s="302"/>
      <c r="P111" s="560">
        <f t="shared" ref="P111:P113" si="33">+L111</f>
        <v>4.7748</v>
      </c>
      <c r="Q111" s="206">
        <f>+'DLR-Op-Model'!M51</f>
        <v>5.2162</v>
      </c>
      <c r="R111" s="206">
        <f>+'DLR-Op-Model'!N51</f>
        <v>5.5902</v>
      </c>
      <c r="S111" s="206">
        <f>+'DLR-Op-Model'!O51</f>
        <v>5.20632</v>
      </c>
      <c r="T111" s="206">
        <f>+'DLR-Op-Model'!P51</f>
        <v>5.01354</v>
      </c>
      <c r="U111" s="206">
        <f>+'DLR-Op-Model'!Q51</f>
        <v>5.47701</v>
      </c>
      <c r="V111" s="206">
        <f>+'DLR-Op-Model'!R51</f>
        <v>5.86971</v>
      </c>
      <c r="W111" s="206">
        <f>+'DLR-Op-Model'!S51</f>
        <v>5.466636</v>
      </c>
      <c r="X111" s="206">
        <f>+'DLR-Op-Model'!T51</f>
        <v>5.264217</v>
      </c>
      <c r="Y111" s="206">
        <f>+'DLR-Op-Model'!U51</f>
        <v>5.7508605</v>
      </c>
      <c r="AA111" s="302">
        <f t="shared" ref="AA111:AD111" si="34">SUMIF($F$78:$Y$78,AA$78,$F111:$Y111)</f>
        <v>17.104</v>
      </c>
      <c r="AB111" s="302">
        <f t="shared" si="34"/>
        <v>20.2734</v>
      </c>
      <c r="AC111" s="302">
        <f t="shared" si="34"/>
        <v>21.28707</v>
      </c>
      <c r="AD111" s="302">
        <f t="shared" si="34"/>
        <v>22.3514235</v>
      </c>
    </row>
    <row r="112" outlineLevel="1" spans="3:30">
      <c r="C112" s="51" t="s">
        <v>214</v>
      </c>
      <c r="D112" s="181" t="s">
        <v>48</v>
      </c>
      <c r="F112" s="521">
        <f>+'DLR-Op-Model'!F52</f>
        <v>1.097</v>
      </c>
      <c r="G112" s="521">
        <f>+'DLR-Op-Model'!G52</f>
        <v>0</v>
      </c>
      <c r="H112" s="521">
        <f>+'DLR-Op-Model'!H52</f>
        <v>169</v>
      </c>
      <c r="I112" s="521">
        <f>+'DLR-Op-Model'!I52</f>
        <v>-0.195</v>
      </c>
      <c r="J112" s="521">
        <f>+'DLR-Op-Model'!J52</f>
        <v>-0.522</v>
      </c>
      <c r="K112" s="521">
        <f>+'DLR-Op-Model'!K52</f>
        <v>0</v>
      </c>
      <c r="L112" s="521">
        <f>+'DLR-Op-Model'!L52</f>
        <v>0</v>
      </c>
      <c r="M112" s="559"/>
      <c r="N112" s="302"/>
      <c r="O112" s="302"/>
      <c r="P112" s="560">
        <f t="shared" si="33"/>
        <v>0</v>
      </c>
      <c r="Q112" s="302">
        <f>+'DLR-Op-Model'!M52+'DFT-Op-Model'!M48</f>
        <v>0</v>
      </c>
      <c r="R112" s="302">
        <f>+'DLR-Op-Model'!N52+'DFT-Op-Model'!N48</f>
        <v>0</v>
      </c>
      <c r="S112" s="302">
        <f>+'DLR-Op-Model'!O52+'DFT-Op-Model'!O48</f>
        <v>0</v>
      </c>
      <c r="T112" s="302">
        <f>+'DLR-Op-Model'!P52+'DFT-Op-Model'!P48</f>
        <v>0</v>
      </c>
      <c r="U112" s="302">
        <f>+'DLR-Op-Model'!Q52+'DFT-Op-Model'!Q48</f>
        <v>0</v>
      </c>
      <c r="V112" s="302">
        <f>+'DLR-Op-Model'!R52+'DFT-Op-Model'!R48</f>
        <v>0</v>
      </c>
      <c r="W112" s="302">
        <f>+'DLR-Op-Model'!S52+'DFT-Op-Model'!S48</f>
        <v>0</v>
      </c>
      <c r="X112" s="302">
        <f>+'DLR-Op-Model'!T52+'DFT-Op-Model'!T48</f>
        <v>0</v>
      </c>
      <c r="Y112" s="302">
        <f>+'DLR-Op-Model'!U52+'DFT-Op-Model'!U48</f>
        <v>0</v>
      </c>
      <c r="AA112" s="302">
        <f t="shared" ref="AA112:AD112" si="35">SUMIF($F$78:$Y$78,AA$78,$F112:$Y112)</f>
        <v>169.902</v>
      </c>
      <c r="AB112" s="302">
        <f t="shared" si="35"/>
        <v>-0.522</v>
      </c>
      <c r="AC112" s="302">
        <f t="shared" si="35"/>
        <v>0</v>
      </c>
      <c r="AD112" s="302">
        <f t="shared" si="35"/>
        <v>0</v>
      </c>
    </row>
    <row r="113" outlineLevel="1" spans="3:30">
      <c r="C113" s="51" t="s">
        <v>215</v>
      </c>
      <c r="D113" s="181" t="s">
        <v>48</v>
      </c>
      <c r="F113" s="521">
        <f>+'DLR-Op-Model'!F53</f>
        <v>-57.885</v>
      </c>
      <c r="G113" s="521">
        <f>+'DLR-Op-Model'!G53</f>
        <v>-63.234</v>
      </c>
      <c r="H113" s="521">
        <f>+'DLR-Op-Model'!H53</f>
        <v>-62.729</v>
      </c>
      <c r="I113" s="521">
        <f>+'DLR-Op-Model'!I53</f>
        <v>-57.196</v>
      </c>
      <c r="J113" s="521">
        <f>+'DLR-Op-Model'!J53</f>
        <v>-55.299</v>
      </c>
      <c r="K113" s="521">
        <f>+'DLR-Op-Model'!K53</f>
        <v>-58.9126255</v>
      </c>
      <c r="L113" s="521">
        <f>+'DLR-Op-Model'!L53</f>
        <v>-62.5721547757958</v>
      </c>
      <c r="M113" s="559"/>
      <c r="N113" s="302"/>
      <c r="O113" s="302"/>
      <c r="P113" s="560">
        <f t="shared" si="33"/>
        <v>-62.5721547757958</v>
      </c>
      <c r="Q113" s="289">
        <f>+'DLR-Op-Model'!M53+'DFT-Op-Model'!M49</f>
        <v>-80.2385543139699</v>
      </c>
      <c r="R113" s="289">
        <f>+'DLR-Op-Model'!N53+'DFT-Op-Model'!N49</f>
        <v>-80.59503555437</v>
      </c>
      <c r="S113" s="289">
        <f>+'DLR-Op-Model'!O53+'DFT-Op-Model'!O49</f>
        <v>-84.8276430805043</v>
      </c>
      <c r="T113" s="289">
        <f>+'DLR-Op-Model'!P53+'DFT-Op-Model'!P49</f>
        <v>-87.0847383709441</v>
      </c>
      <c r="U113" s="289">
        <f>+'DLR-Op-Model'!Q53+'DFT-Op-Model'!Q49</f>
        <v>-90.8632602472311</v>
      </c>
      <c r="V113" s="289">
        <f>+'DLR-Op-Model'!R53+'DFT-Op-Model'!R49</f>
        <v>-93.3399057622097</v>
      </c>
      <c r="W113" s="289">
        <f>+'DLR-Op-Model'!S53+'DFT-Op-Model'!S49</f>
        <v>-95.7217513087782</v>
      </c>
      <c r="X113" s="289">
        <f>+'DLR-Op-Model'!T53+'DFT-Op-Model'!T49</f>
        <v>-100.661420032646</v>
      </c>
      <c r="Y113" s="289">
        <f>+'DLR-Op-Model'!U53+'DFT-Op-Model'!U49</f>
        <v>-102.489417627621</v>
      </c>
      <c r="AA113" s="302">
        <f t="shared" ref="AA113:AD113" si="36">SUMIF($F$78:$Y$78,AA$78,$F113:$Y113)</f>
        <v>-241.044</v>
      </c>
      <c r="AB113" s="302">
        <f t="shared" si="36"/>
        <v>-257.022334589766</v>
      </c>
      <c r="AC113" s="302">
        <f t="shared" si="36"/>
        <v>-343.370677253049</v>
      </c>
      <c r="AD113" s="302">
        <f t="shared" si="36"/>
        <v>-392.212494731255</v>
      </c>
    </row>
    <row r="114" outlineLevel="1" spans="3:30">
      <c r="C114" s="538" t="s">
        <v>216</v>
      </c>
      <c r="D114" s="523" t="s">
        <v>48</v>
      </c>
      <c r="E114" s="539"/>
      <c r="F114" s="540"/>
      <c r="G114" s="540"/>
      <c r="H114" s="540"/>
      <c r="I114" s="540"/>
      <c r="J114" s="540"/>
      <c r="K114" s="540"/>
      <c r="L114" s="540"/>
      <c r="M114" s="561"/>
      <c r="N114" s="562"/>
      <c r="O114" s="562"/>
      <c r="P114" s="563"/>
      <c r="Q114" s="592">
        <f>-Refi_Debt*Debt_Interest_Diff/Num_Periods</f>
        <v>1.7519711311668</v>
      </c>
      <c r="R114" s="592">
        <f>-Refi_Debt*Debt_Interest_Diff/Num_Periods</f>
        <v>1.7519711311668</v>
      </c>
      <c r="S114" s="592">
        <f>-Refi_Debt*Debt_Interest_Diff/Num_Periods</f>
        <v>1.7519711311668</v>
      </c>
      <c r="T114" s="592">
        <f>-Refi_Debt*Debt_Interest_Diff/Num_Periods</f>
        <v>1.7519711311668</v>
      </c>
      <c r="U114" s="592">
        <f>-Refi_Debt*Debt_Interest_Diff/Num_Periods</f>
        <v>1.7519711311668</v>
      </c>
      <c r="V114" s="592">
        <f>-Refi_Debt*Debt_Interest_Diff/Num_Periods</f>
        <v>1.7519711311668</v>
      </c>
      <c r="W114" s="592">
        <f>-Refi_Debt*Debt_Interest_Diff/Num_Periods</f>
        <v>1.7519711311668</v>
      </c>
      <c r="X114" s="592">
        <f>-Refi_Debt*Debt_Interest_Diff/Num_Periods</f>
        <v>1.7519711311668</v>
      </c>
      <c r="Y114" s="592">
        <f>-Refi_Debt*Debt_Interest_Diff/Num_Periods</f>
        <v>1.7519711311668</v>
      </c>
      <c r="AA114" s="562">
        <f t="shared" ref="AA114:AD114" si="37">SUMIF($F$78:$Y$78,AA$78,$F114:$Y114)</f>
        <v>0</v>
      </c>
      <c r="AB114" s="562">
        <f t="shared" si="37"/>
        <v>1.7519711311668</v>
      </c>
      <c r="AC114" s="562">
        <f t="shared" si="37"/>
        <v>7.00788452466718</v>
      </c>
      <c r="AD114" s="562">
        <f t="shared" si="37"/>
        <v>7.00788452466718</v>
      </c>
    </row>
    <row r="115" outlineLevel="1" spans="3:30">
      <c r="C115" s="541" t="s">
        <v>217</v>
      </c>
      <c r="D115" s="527" t="s">
        <v>48</v>
      </c>
      <c r="E115" s="542"/>
      <c r="F115" s="543"/>
      <c r="G115" s="543"/>
      <c r="H115" s="543"/>
      <c r="I115" s="543"/>
      <c r="J115" s="543"/>
      <c r="K115" s="543"/>
      <c r="L115" s="543"/>
      <c r="M115" s="564"/>
      <c r="N115" s="565"/>
      <c r="O115" s="565"/>
      <c r="P115" s="566"/>
      <c r="Q115" s="565">
        <f>-New_Debt*New_Debt_Interest/Num_Periods</f>
        <v>-1.5890293441042</v>
      </c>
      <c r="R115" s="565">
        <f>-New_Debt*New_Debt_Interest/Num_Periods</f>
        <v>-1.5890293441042</v>
      </c>
      <c r="S115" s="565">
        <f>-New_Debt*New_Debt_Interest/Num_Periods</f>
        <v>-1.5890293441042</v>
      </c>
      <c r="T115" s="565">
        <f>-New_Debt*New_Debt_Interest/Num_Periods</f>
        <v>-1.5890293441042</v>
      </c>
      <c r="U115" s="565">
        <f>-New_Debt*New_Debt_Interest/Num_Periods</f>
        <v>-1.5890293441042</v>
      </c>
      <c r="V115" s="565">
        <f>-New_Debt*New_Debt_Interest/Num_Periods</f>
        <v>-1.5890293441042</v>
      </c>
      <c r="W115" s="565">
        <f>-New_Debt*New_Debt_Interest/Num_Periods</f>
        <v>-1.5890293441042</v>
      </c>
      <c r="X115" s="565">
        <f>-New_Debt*New_Debt_Interest/Num_Periods</f>
        <v>-1.5890293441042</v>
      </c>
      <c r="Y115" s="565">
        <f>-New_Debt*New_Debt_Interest/Num_Periods</f>
        <v>-1.5890293441042</v>
      </c>
      <c r="AA115" s="565">
        <f t="shared" ref="AA115:AD115" si="38">SUMIF($F$78:$Y$78,AA$78,$F115:$Y115)</f>
        <v>0</v>
      </c>
      <c r="AB115" s="565">
        <f t="shared" si="38"/>
        <v>-1.5890293441042</v>
      </c>
      <c r="AC115" s="565">
        <f t="shared" si="38"/>
        <v>-6.35611737641681</v>
      </c>
      <c r="AD115" s="565">
        <f t="shared" si="38"/>
        <v>-6.35611737641681</v>
      </c>
    </row>
    <row r="116" outlineLevel="1" spans="3:30">
      <c r="C116" s="51" t="s">
        <v>218</v>
      </c>
      <c r="D116" s="181" t="s">
        <v>48</v>
      </c>
      <c r="F116" s="521">
        <f>+'DLR-Op-Model'!F54</f>
        <v>-0.964</v>
      </c>
      <c r="G116" s="521">
        <f>+'DLR-Op-Model'!G54</f>
        <v>0</v>
      </c>
      <c r="H116" s="521">
        <f>+'DLR-Op-Model'!H54</f>
        <v>-0.018</v>
      </c>
      <c r="I116" s="521">
        <f>+'DLR-Op-Model'!I54</f>
        <v>-0.029</v>
      </c>
      <c r="J116" s="521">
        <f>+'DLR-Op-Model'!J54</f>
        <v>0</v>
      </c>
      <c r="K116" s="521">
        <f>+'DLR-Op-Model'!K54</f>
        <v>0</v>
      </c>
      <c r="L116" s="521">
        <f>+'DLR-Op-Model'!L54</f>
        <v>0</v>
      </c>
      <c r="M116" s="559"/>
      <c r="N116" s="302"/>
      <c r="O116" s="302"/>
      <c r="P116" s="560">
        <f t="shared" ref="P116:P121" si="39">+L116</f>
        <v>0</v>
      </c>
      <c r="Q116" s="302">
        <f>+'DLR-Op-Model'!M54+'DFT-Op-Model'!M50</f>
        <v>0</v>
      </c>
      <c r="R116" s="302">
        <f>+'DLR-Op-Model'!N54+'DFT-Op-Model'!N50</f>
        <v>0</v>
      </c>
      <c r="S116" s="302">
        <f>+'DLR-Op-Model'!O54+'DFT-Op-Model'!O50</f>
        <v>0</v>
      </c>
      <c r="T116" s="302">
        <f>+'DLR-Op-Model'!P54+'DFT-Op-Model'!P50</f>
        <v>0</v>
      </c>
      <c r="U116" s="302">
        <f>+'DLR-Op-Model'!Q54+'DFT-Op-Model'!Q50</f>
        <v>0</v>
      </c>
      <c r="V116" s="302">
        <f>+'DLR-Op-Model'!R54+'DFT-Op-Model'!R50</f>
        <v>0</v>
      </c>
      <c r="W116" s="302">
        <f>+'DLR-Op-Model'!S54+'DFT-Op-Model'!S50</f>
        <v>0</v>
      </c>
      <c r="X116" s="302">
        <f>+'DLR-Op-Model'!T54+'DFT-Op-Model'!T50</f>
        <v>0</v>
      </c>
      <c r="Y116" s="302">
        <f>+'DLR-Op-Model'!U54+'DFT-Op-Model'!U50</f>
        <v>0</v>
      </c>
      <c r="AA116" s="302">
        <f t="shared" ref="AA116:AD116" si="40">SUMIF($F$78:$Y$78,AA$78,$F116:$Y116)</f>
        <v>-1.011</v>
      </c>
      <c r="AB116" s="302">
        <f t="shared" si="40"/>
        <v>0</v>
      </c>
      <c r="AC116" s="302">
        <f t="shared" si="40"/>
        <v>0</v>
      </c>
      <c r="AD116" s="302">
        <f t="shared" si="40"/>
        <v>0</v>
      </c>
    </row>
    <row r="117" outlineLevel="1" spans="13:30">
      <c r="M117" s="576"/>
      <c r="P117" s="577"/>
      <c r="AB117" s="197"/>
      <c r="AC117" s="197"/>
      <c r="AD117" s="197"/>
    </row>
    <row r="118" outlineLevel="1" spans="3:30">
      <c r="C118" s="193" t="s">
        <v>219</v>
      </c>
      <c r="D118" s="181" t="s">
        <v>48</v>
      </c>
      <c r="F118" s="269">
        <f t="shared" ref="F118:L118" si="41">+F109+SUM(F111:F116)</f>
        <v>64.442</v>
      </c>
      <c r="G118" s="269">
        <f t="shared" si="41"/>
        <v>53.196</v>
      </c>
      <c r="H118" s="269">
        <f t="shared" si="41"/>
        <v>226.155</v>
      </c>
      <c r="I118" s="269">
        <f t="shared" si="41"/>
        <v>98.4440000000001</v>
      </c>
      <c r="J118" s="269">
        <f t="shared" si="41"/>
        <v>86.786</v>
      </c>
      <c r="K118" s="269">
        <f t="shared" si="41"/>
        <v>65.0547325688096</v>
      </c>
      <c r="L118" s="269">
        <f t="shared" si="41"/>
        <v>66.4683495795496</v>
      </c>
      <c r="M118" s="569"/>
      <c r="N118" s="269"/>
      <c r="O118" s="269"/>
      <c r="P118" s="570">
        <f t="shared" ref="P118:Y118" si="42">+P109+SUM(P111:P116)</f>
        <v>66.4683495795496</v>
      </c>
      <c r="Q118" s="269">
        <f t="shared" si="42"/>
        <v>89.7496990689337</v>
      </c>
      <c r="R118" s="269">
        <f t="shared" si="42"/>
        <v>103.839500006436</v>
      </c>
      <c r="S118" s="269">
        <f t="shared" si="42"/>
        <v>78.4316394530311</v>
      </c>
      <c r="T118" s="269">
        <f t="shared" si="42"/>
        <v>88.6415974335431</v>
      </c>
      <c r="U118" s="269">
        <f t="shared" si="42"/>
        <v>116.141789557331</v>
      </c>
      <c r="V118" s="269">
        <f t="shared" si="42"/>
        <v>131.247116215404</v>
      </c>
      <c r="W118" s="269">
        <f t="shared" si="42"/>
        <v>104.833475047632</v>
      </c>
      <c r="X118" s="269">
        <f t="shared" si="42"/>
        <v>112.994107111155</v>
      </c>
      <c r="Y118" s="269">
        <f t="shared" si="42"/>
        <v>137.17821683788</v>
      </c>
      <c r="AA118" s="269">
        <f t="shared" ref="AA118:AD118" si="43">+AA109+SUM(AA111:AA116)</f>
        <v>442.237</v>
      </c>
      <c r="AB118" s="269">
        <f t="shared" si="43"/>
        <v>308.058781217292</v>
      </c>
      <c r="AC118" s="269">
        <f t="shared" si="43"/>
        <v>387.05452645034</v>
      </c>
      <c r="AD118" s="269">
        <f t="shared" si="43"/>
        <v>486.252915212072</v>
      </c>
    </row>
    <row r="119" outlineLevel="1" spans="3:30">
      <c r="C119" s="51" t="s">
        <v>220</v>
      </c>
      <c r="D119" s="200" t="s">
        <v>48</v>
      </c>
      <c r="F119" s="521">
        <f>+'DLR-Op-Model'!F57</f>
        <v>-2.109</v>
      </c>
      <c r="G119" s="521">
        <f>+'DLR-Op-Model'!G57</f>
        <v>-2.252</v>
      </c>
      <c r="H119" s="521">
        <f>+'DLR-Op-Model'!H57</f>
        <v>-3.72</v>
      </c>
      <c r="I119" s="521">
        <f>+'DLR-Op-Model'!I57</f>
        <v>-2.304</v>
      </c>
      <c r="J119" s="521">
        <f>+'DLR-Op-Model'!J57</f>
        <v>-2.223</v>
      </c>
      <c r="K119" s="521">
        <f>+'DLR-Op-Model'!K57</f>
        <v>-2.75402770405593</v>
      </c>
      <c r="L119" s="521">
        <f>+'DLR-Op-Model'!L57</f>
        <v>-1.09333094751796</v>
      </c>
      <c r="M119" s="578"/>
      <c r="N119" s="309"/>
      <c r="O119" s="309"/>
      <c r="P119" s="579">
        <f t="shared" si="39"/>
        <v>-1.09333094751796</v>
      </c>
      <c r="Q119" s="309">
        <f t="shared" ref="Q119:Y119" si="44">-Q118*Q80</f>
        <v>-2.10051711282377</v>
      </c>
      <c r="R119" s="309">
        <f t="shared" si="44"/>
        <v>-2.65982080651612</v>
      </c>
      <c r="S119" s="310">
        <f t="shared" si="44"/>
        <v>-3.32032581487755</v>
      </c>
      <c r="T119" s="310">
        <f t="shared" si="44"/>
        <v>-1.45805638810895</v>
      </c>
      <c r="U119" s="310">
        <f t="shared" si="44"/>
        <v>-2.71820205538265</v>
      </c>
      <c r="V119" s="310">
        <f t="shared" si="44"/>
        <v>-3.36185950898581</v>
      </c>
      <c r="W119" s="310">
        <f t="shared" si="44"/>
        <v>-4.43802138896286</v>
      </c>
      <c r="X119" s="310">
        <f t="shared" si="44"/>
        <v>-1.85862827907186</v>
      </c>
      <c r="Y119" s="310">
        <f t="shared" si="44"/>
        <v>-3.21054215182718</v>
      </c>
      <c r="AA119" s="303">
        <f t="shared" ref="AA119:AD119" si="45">SUMIF($F$78:$Y$78,AA$78,$F119:$Y119)</f>
        <v>-10.385</v>
      </c>
      <c r="AB119" s="303">
        <f t="shared" si="45"/>
        <v>-8.17087576439766</v>
      </c>
      <c r="AC119" s="303">
        <f t="shared" si="45"/>
        <v>-10.1564050648853</v>
      </c>
      <c r="AD119" s="303">
        <f t="shared" si="45"/>
        <v>-12.8690513288477</v>
      </c>
    </row>
    <row r="120" outlineLevel="1" spans="3:30">
      <c r="C120" s="189" t="s">
        <v>221</v>
      </c>
      <c r="D120" s="181" t="s">
        <v>48</v>
      </c>
      <c r="E120" s="212"/>
      <c r="F120" s="272">
        <f t="shared" ref="F120:L120" si="46">SUM(F118:F119)</f>
        <v>62.333</v>
      </c>
      <c r="G120" s="272">
        <f t="shared" si="46"/>
        <v>50.944</v>
      </c>
      <c r="H120" s="272">
        <f t="shared" si="46"/>
        <v>222.435</v>
      </c>
      <c r="I120" s="272">
        <f t="shared" si="46"/>
        <v>96.1400000000001</v>
      </c>
      <c r="J120" s="272">
        <f t="shared" si="46"/>
        <v>84.563</v>
      </c>
      <c r="K120" s="272">
        <f t="shared" si="46"/>
        <v>62.3007048647537</v>
      </c>
      <c r="L120" s="272">
        <f t="shared" si="46"/>
        <v>65.3750186320317</v>
      </c>
      <c r="M120" s="574"/>
      <c r="N120" s="272"/>
      <c r="O120" s="272"/>
      <c r="P120" s="575">
        <f t="shared" ref="P120:Y120" si="47">SUM(P118:P119)</f>
        <v>65.3750186320317</v>
      </c>
      <c r="Q120" s="272">
        <f t="shared" si="47"/>
        <v>87.64918195611</v>
      </c>
      <c r="R120" s="272">
        <f t="shared" si="47"/>
        <v>101.17967919992</v>
      </c>
      <c r="S120" s="272">
        <f t="shared" si="47"/>
        <v>75.1113136381536</v>
      </c>
      <c r="T120" s="272">
        <f t="shared" si="47"/>
        <v>87.1835410454341</v>
      </c>
      <c r="U120" s="272">
        <f t="shared" si="47"/>
        <v>113.423587501948</v>
      </c>
      <c r="V120" s="272">
        <f t="shared" si="47"/>
        <v>127.885256706418</v>
      </c>
      <c r="W120" s="272">
        <f t="shared" si="47"/>
        <v>100.39545365867</v>
      </c>
      <c r="X120" s="272">
        <f t="shared" si="47"/>
        <v>111.135478832083</v>
      </c>
      <c r="Y120" s="272">
        <f t="shared" si="47"/>
        <v>133.967674686053</v>
      </c>
      <c r="AA120" s="269">
        <f t="shared" ref="AA120:AD120" si="48">SUM(AA118:AA119)</f>
        <v>431.852</v>
      </c>
      <c r="AB120" s="269">
        <f t="shared" si="48"/>
        <v>299.887905452895</v>
      </c>
      <c r="AC120" s="269">
        <f t="shared" si="48"/>
        <v>376.898121385455</v>
      </c>
      <c r="AD120" s="269">
        <f t="shared" si="48"/>
        <v>473.383863883224</v>
      </c>
    </row>
    <row r="121" outlineLevel="1" spans="3:30">
      <c r="C121" s="51" t="s">
        <v>222</v>
      </c>
      <c r="D121" s="200" t="s">
        <v>48</v>
      </c>
      <c r="F121" s="206">
        <f>+'DLR-Op-Model'!F59</f>
        <v>-0.784</v>
      </c>
      <c r="G121" s="206">
        <f>+'DLR-Op-Model'!G59</f>
        <v>-0.569</v>
      </c>
      <c r="H121" s="206">
        <f>+'DLR-Op-Model'!H59</f>
        <v>-3.247</v>
      </c>
      <c r="I121" s="206">
        <f>+'DLR-Op-Model'!I59</f>
        <v>-1.065</v>
      </c>
      <c r="J121" s="206">
        <f>+'DLR-Op-Model'!J59</f>
        <v>-1.025</v>
      </c>
      <c r="K121" s="206">
        <f>+'DLR-Op-Model'!K59</f>
        <v>-0.9408</v>
      </c>
      <c r="L121" s="206">
        <f>+'DLR-Op-Model'!L59</f>
        <v>-0.65435</v>
      </c>
      <c r="M121" s="580"/>
      <c r="N121" s="311"/>
      <c r="O121" s="311"/>
      <c r="P121" s="581">
        <f t="shared" si="39"/>
        <v>-0.65435</v>
      </c>
      <c r="Q121" s="311">
        <f>+'DLR-Op-Model'!M59+'DFT-Op-Model'!M55</f>
        <v>-9.2301</v>
      </c>
      <c r="R121" s="311">
        <f>+'DLR-Op-Model'!N59+'DFT-Op-Model'!N55</f>
        <v>-7.5852</v>
      </c>
      <c r="S121" s="311">
        <f>+'DLR-Op-Model'!O59+'DFT-Op-Model'!O55</f>
        <v>-7.07385</v>
      </c>
      <c r="T121" s="311">
        <f>+'DLR-Op-Model'!P59+'DFT-Op-Model'!P55</f>
        <v>-7.89012</v>
      </c>
      <c r="U121" s="311">
        <f>+'DLR-Op-Model'!Q59+'DFT-Op-Model'!Q55</f>
        <v>-9.70347</v>
      </c>
      <c r="V121" s="311">
        <f>+'DLR-Op-Model'!R59+'DFT-Op-Model'!R55</f>
        <v>-9.691605</v>
      </c>
      <c r="W121" s="311">
        <f>+'DLR-Op-Model'!S59+'DFT-Op-Model'!S55</f>
        <v>-7.96446</v>
      </c>
      <c r="X121" s="311">
        <f>+'DLR-Op-Model'!T59+'DFT-Op-Model'!T55</f>
        <v>-7.4275425</v>
      </c>
      <c r="Y121" s="311">
        <f>+'DLR-Op-Model'!U59+'DFT-Op-Model'!U55</f>
        <v>-8.284626</v>
      </c>
      <c r="AA121" s="311">
        <f t="shared" ref="AA121:AD121" si="49">SUMIF($F$78:$Y$78,AA$78,$F121:$Y121)</f>
        <v>-5.665</v>
      </c>
      <c r="AB121" s="311">
        <f t="shared" si="49"/>
        <v>-11.85025</v>
      </c>
      <c r="AC121" s="311">
        <f t="shared" si="49"/>
        <v>-32.25264</v>
      </c>
      <c r="AD121" s="311">
        <f t="shared" si="49"/>
        <v>-33.3682335</v>
      </c>
    </row>
    <row r="122" outlineLevel="1" spans="3:30">
      <c r="C122" s="189" t="s">
        <v>223</v>
      </c>
      <c r="D122" s="181" t="s">
        <v>48</v>
      </c>
      <c r="E122" s="212"/>
      <c r="F122" s="272">
        <f t="shared" ref="F122:L122" si="50">SUM(F120:F121)</f>
        <v>61.549</v>
      </c>
      <c r="G122" s="272">
        <f t="shared" si="50"/>
        <v>50.375</v>
      </c>
      <c r="H122" s="272">
        <f t="shared" si="50"/>
        <v>219.188</v>
      </c>
      <c r="I122" s="272">
        <f t="shared" si="50"/>
        <v>95.0750000000001</v>
      </c>
      <c r="J122" s="272">
        <f t="shared" si="50"/>
        <v>83.538</v>
      </c>
      <c r="K122" s="272">
        <f t="shared" si="50"/>
        <v>61.3599048647537</v>
      </c>
      <c r="L122" s="272">
        <f t="shared" si="50"/>
        <v>64.7206686320317</v>
      </c>
      <c r="M122" s="569"/>
      <c r="N122" s="269"/>
      <c r="O122" s="269"/>
      <c r="P122" s="570">
        <f t="shared" ref="P122:Y122" si="51">SUM(P120:P121)</f>
        <v>64.7206686320317</v>
      </c>
      <c r="Q122" s="269">
        <f t="shared" si="51"/>
        <v>78.41908195611</v>
      </c>
      <c r="R122" s="269">
        <f t="shared" si="51"/>
        <v>93.5944791999201</v>
      </c>
      <c r="S122" s="269">
        <f t="shared" si="51"/>
        <v>68.0374636381536</v>
      </c>
      <c r="T122" s="269">
        <f t="shared" si="51"/>
        <v>79.2934210454341</v>
      </c>
      <c r="U122" s="269">
        <f t="shared" si="51"/>
        <v>103.720117501948</v>
      </c>
      <c r="V122" s="269">
        <f t="shared" si="51"/>
        <v>118.193651706418</v>
      </c>
      <c r="W122" s="269">
        <f t="shared" si="51"/>
        <v>92.4309936586696</v>
      </c>
      <c r="X122" s="269">
        <f t="shared" si="51"/>
        <v>103.707936332083</v>
      </c>
      <c r="Y122" s="269">
        <f t="shared" si="51"/>
        <v>125.683048686053</v>
      </c>
      <c r="AA122" s="269">
        <f t="shared" ref="AA122:AD122" si="52">SUM(AA120:AA121)</f>
        <v>426.187</v>
      </c>
      <c r="AB122" s="269">
        <f t="shared" si="52"/>
        <v>288.037655452895</v>
      </c>
      <c r="AC122" s="269">
        <f t="shared" si="52"/>
        <v>344.645481385455</v>
      </c>
      <c r="AD122" s="269">
        <f t="shared" si="52"/>
        <v>440.015630383224</v>
      </c>
    </row>
    <row r="123" outlineLevel="1" spans="3:30">
      <c r="C123" s="51" t="s">
        <v>224</v>
      </c>
      <c r="D123" s="181" t="s">
        <v>48</v>
      </c>
      <c r="F123" s="206">
        <f>+'DLR-Op-Model'!F61</f>
        <v>-22.424</v>
      </c>
      <c r="G123" s="206">
        <f>+'DLR-Op-Model'!G61</f>
        <v>-22.424</v>
      </c>
      <c r="H123" s="206">
        <f>+'DLR-Op-Model'!H61</f>
        <v>-21.53</v>
      </c>
      <c r="I123" s="206">
        <f>+'DLR-Op-Model'!I61</f>
        <v>-17.393</v>
      </c>
      <c r="J123" s="206">
        <f>+'DLR-Op-Model'!J61</f>
        <v>-17.393</v>
      </c>
      <c r="K123" s="206">
        <f>+'DLR-Op-Model'!K61</f>
        <v>-17.7268175</v>
      </c>
      <c r="L123" s="206">
        <f>+'DLR-Op-Model'!L61</f>
        <v>-17.7268175</v>
      </c>
      <c r="M123" s="578"/>
      <c r="N123" s="309"/>
      <c r="O123" s="309"/>
      <c r="P123" s="579">
        <f t="shared" ref="P123:P128" si="53">+L123</f>
        <v>-17.7268175</v>
      </c>
      <c r="Q123" s="309">
        <f>+'DLR-Op-Model'!M61+'DFT-Op-Model'!M57</f>
        <v>-21.0598175</v>
      </c>
      <c r="R123" s="309">
        <f>+'DLR-Op-Model'!N61+'DFT-Op-Model'!N57</f>
        <v>-21.0598175</v>
      </c>
      <c r="S123" s="309">
        <f>+'DLR-Op-Model'!O61+'DFT-Op-Model'!O57</f>
        <v>-21.0598175</v>
      </c>
      <c r="T123" s="309">
        <f>+'DLR-Op-Model'!P61+'DFT-Op-Model'!P57</f>
        <v>-21.0598175</v>
      </c>
      <c r="U123" s="309">
        <f>+'DLR-Op-Model'!Q61+'DFT-Op-Model'!Q57</f>
        <v>-21.0598175</v>
      </c>
      <c r="V123" s="309">
        <f>+'DLR-Op-Model'!R61+'DFT-Op-Model'!R57</f>
        <v>-21.0598175</v>
      </c>
      <c r="W123" s="309">
        <f>+'DLR-Op-Model'!S61+'DFT-Op-Model'!S57</f>
        <v>-21.0598175</v>
      </c>
      <c r="X123" s="309">
        <f>+'DLR-Op-Model'!T61+'DFT-Op-Model'!T57</f>
        <v>-21.0598175</v>
      </c>
      <c r="Y123" s="309">
        <f>+'DLR-Op-Model'!U61+'DFT-Op-Model'!U57</f>
        <v>-21.0598175</v>
      </c>
      <c r="AA123" s="309">
        <f t="shared" ref="AA123:AD123" si="54">SUMIF($F$78:$Y$78,AA$78,$F123:$Y123)</f>
        <v>-83.771</v>
      </c>
      <c r="AB123" s="309">
        <f t="shared" si="54"/>
        <v>-73.9064525</v>
      </c>
      <c r="AC123" s="309">
        <f t="shared" si="54"/>
        <v>-84.23927</v>
      </c>
      <c r="AD123" s="309">
        <f t="shared" si="54"/>
        <v>-84.23927</v>
      </c>
    </row>
    <row r="124" outlineLevel="1" spans="3:30">
      <c r="C124" s="544" t="s">
        <v>225</v>
      </c>
      <c r="D124" s="545" t="s">
        <v>48</v>
      </c>
      <c r="E124" s="546"/>
      <c r="F124" s="547"/>
      <c r="G124" s="547"/>
      <c r="H124" s="547"/>
      <c r="I124" s="547"/>
      <c r="J124" s="547"/>
      <c r="K124" s="547"/>
      <c r="L124" s="547"/>
      <c r="M124" s="582"/>
      <c r="N124" s="583"/>
      <c r="O124" s="583"/>
      <c r="P124" s="584"/>
      <c r="Q124" s="583">
        <f>-Refi_Preferred*Pref_Div_Diff/Num_Periods</f>
        <v>0.69159375</v>
      </c>
      <c r="R124" s="583">
        <f>-Refi_Preferred*Pref_Div_Diff/Num_Periods</f>
        <v>0.69159375</v>
      </c>
      <c r="S124" s="583">
        <f>-Refi_Preferred*Pref_Div_Diff/Num_Periods</f>
        <v>0.69159375</v>
      </c>
      <c r="T124" s="583">
        <f>-Refi_Preferred*Pref_Div_Diff/Num_Periods</f>
        <v>0.69159375</v>
      </c>
      <c r="U124" s="583">
        <f>-Refi_Preferred*Pref_Div_Diff/Num_Periods</f>
        <v>0.69159375</v>
      </c>
      <c r="V124" s="583">
        <f>-Refi_Preferred*Pref_Div_Diff/Num_Periods</f>
        <v>0.69159375</v>
      </c>
      <c r="W124" s="583">
        <f>-Refi_Preferred*Pref_Div_Diff/Num_Periods</f>
        <v>0.69159375</v>
      </c>
      <c r="X124" s="583">
        <f>-Refi_Preferred*Pref_Div_Diff/Num_Periods</f>
        <v>0.69159375</v>
      </c>
      <c r="Y124" s="583">
        <f>-Refi_Preferred*Pref_Div_Diff/Num_Periods</f>
        <v>0.69159375</v>
      </c>
      <c r="AA124" s="583">
        <f t="shared" ref="AA124:AD124" si="55">SUMIF($F$78:$Y$78,AA$78,$F124:$Y124)</f>
        <v>0</v>
      </c>
      <c r="AB124" s="583">
        <f t="shared" si="55"/>
        <v>0.69159375</v>
      </c>
      <c r="AC124" s="583">
        <f t="shared" si="55"/>
        <v>2.766375</v>
      </c>
      <c r="AD124" s="583">
        <f t="shared" si="55"/>
        <v>2.766375</v>
      </c>
    </row>
    <row r="125" outlineLevel="1" spans="3:30">
      <c r="C125" s="51" t="s">
        <v>226</v>
      </c>
      <c r="D125" s="200" t="s">
        <v>48</v>
      </c>
      <c r="F125" s="206">
        <f>+'DLR-Op-Model'!F62</f>
        <v>0</v>
      </c>
      <c r="G125" s="206">
        <f>+'DLR-Op-Model'!G62</f>
        <v>0</v>
      </c>
      <c r="H125" s="206">
        <f>+'DLR-Op-Model'!H62</f>
        <v>-10.328</v>
      </c>
      <c r="I125" s="206">
        <f>+'DLR-Op-Model'!I62</f>
        <v>0</v>
      </c>
      <c r="J125" s="206">
        <f>+'DLR-Op-Model'!J62</f>
        <v>0</v>
      </c>
      <c r="K125" s="206">
        <f>+'DLR-Op-Model'!K62</f>
        <v>0</v>
      </c>
      <c r="L125" s="206">
        <f>+'DLR-Op-Model'!L62</f>
        <v>0</v>
      </c>
      <c r="M125" s="567"/>
      <c r="N125" s="303"/>
      <c r="O125" s="303"/>
      <c r="P125" s="568">
        <f t="shared" si="53"/>
        <v>0</v>
      </c>
      <c r="Q125" s="303">
        <f>+'DLR-Op-Model'!M62+'DFT-Op-Model'!M58</f>
        <v>0</v>
      </c>
      <c r="R125" s="303">
        <f>+'DLR-Op-Model'!N62+'DFT-Op-Model'!N58</f>
        <v>0</v>
      </c>
      <c r="S125" s="303">
        <f>+'DLR-Op-Model'!O62+'DFT-Op-Model'!O58</f>
        <v>0</v>
      </c>
      <c r="T125" s="303">
        <f>+'DLR-Op-Model'!P62+'DFT-Op-Model'!P58</f>
        <v>0</v>
      </c>
      <c r="U125" s="303">
        <f>+'DLR-Op-Model'!Q62+'DFT-Op-Model'!Q58</f>
        <v>0</v>
      </c>
      <c r="V125" s="303">
        <f>+'DLR-Op-Model'!R62+'DFT-Op-Model'!R58</f>
        <v>0</v>
      </c>
      <c r="W125" s="303">
        <f>+'DLR-Op-Model'!S62+'DFT-Op-Model'!S58</f>
        <v>0</v>
      </c>
      <c r="X125" s="303">
        <f>+'DLR-Op-Model'!T62+'DFT-Op-Model'!T58</f>
        <v>0</v>
      </c>
      <c r="Y125" s="303">
        <f>+'DLR-Op-Model'!U62+'DFT-Op-Model'!U58</f>
        <v>0</v>
      </c>
      <c r="AA125" s="303">
        <f t="shared" ref="AA125:AD125" si="56">SUMIF($F$78:$Y$78,AA$78,$F125:$Y125)</f>
        <v>-10.328</v>
      </c>
      <c r="AB125" s="310">
        <f t="shared" si="56"/>
        <v>0</v>
      </c>
      <c r="AC125" s="310">
        <f t="shared" si="56"/>
        <v>0</v>
      </c>
      <c r="AD125" s="310">
        <f t="shared" si="56"/>
        <v>0</v>
      </c>
    </row>
    <row r="126" outlineLevel="1" spans="3:30">
      <c r="C126" s="189" t="s">
        <v>227</v>
      </c>
      <c r="D126" s="181" t="s">
        <v>48</v>
      </c>
      <c r="E126" s="212"/>
      <c r="F126" s="276">
        <f t="shared" ref="F126:L126" si="57">SUM(F122:F125)</f>
        <v>39.125</v>
      </c>
      <c r="G126" s="276">
        <f t="shared" si="57"/>
        <v>27.951</v>
      </c>
      <c r="H126" s="276">
        <f t="shared" si="57"/>
        <v>187.33</v>
      </c>
      <c r="I126" s="276">
        <f t="shared" si="57"/>
        <v>77.6820000000001</v>
      </c>
      <c r="J126" s="276">
        <f t="shared" si="57"/>
        <v>66.145</v>
      </c>
      <c r="K126" s="276">
        <f t="shared" si="57"/>
        <v>43.6330873647536</v>
      </c>
      <c r="L126" s="276">
        <f t="shared" si="57"/>
        <v>46.9938511320317</v>
      </c>
      <c r="M126" s="585"/>
      <c r="N126" s="326"/>
      <c r="O126" s="326"/>
      <c r="P126" s="586">
        <f t="shared" ref="P126:Y126" si="58">SUM(P122:P125)</f>
        <v>46.9938511320317</v>
      </c>
      <c r="Q126" s="326">
        <f t="shared" si="58"/>
        <v>58.05085820611</v>
      </c>
      <c r="R126" s="326">
        <f t="shared" si="58"/>
        <v>73.2262554499201</v>
      </c>
      <c r="S126" s="326">
        <f t="shared" si="58"/>
        <v>47.6692398881536</v>
      </c>
      <c r="T126" s="326">
        <f t="shared" si="58"/>
        <v>58.9251972954341</v>
      </c>
      <c r="U126" s="326">
        <f t="shared" si="58"/>
        <v>83.351893751948</v>
      </c>
      <c r="V126" s="326">
        <f t="shared" si="58"/>
        <v>97.8254279564179</v>
      </c>
      <c r="W126" s="326">
        <f t="shared" si="58"/>
        <v>72.0627699086696</v>
      </c>
      <c r="X126" s="326">
        <f t="shared" si="58"/>
        <v>83.3397125820833</v>
      </c>
      <c r="Y126" s="326">
        <f t="shared" si="58"/>
        <v>105.314824936053</v>
      </c>
      <c r="AA126" s="276">
        <f t="shared" ref="AA126:AD126" si="59">SUM(AA122:AA125)</f>
        <v>332.088</v>
      </c>
      <c r="AB126" s="276">
        <f t="shared" si="59"/>
        <v>214.822796702895</v>
      </c>
      <c r="AC126" s="276">
        <f t="shared" si="59"/>
        <v>263.172586385455</v>
      </c>
      <c r="AD126" s="276">
        <f t="shared" si="59"/>
        <v>358.542735383224</v>
      </c>
    </row>
    <row r="127" outlineLevel="1" spans="6:16">
      <c r="F127" s="277"/>
      <c r="M127" s="576"/>
      <c r="P127" s="577"/>
    </row>
    <row r="128" outlineLevel="1" spans="3:30">
      <c r="C128" s="11" t="s">
        <v>228</v>
      </c>
      <c r="D128" s="9" t="s">
        <v>229</v>
      </c>
      <c r="F128" s="548">
        <f>+'DLR-Op-Model'!F65</f>
        <v>147.433194</v>
      </c>
      <c r="G128" s="548">
        <f>+'DLR-Op-Model'!G65</f>
        <v>147.808268</v>
      </c>
      <c r="H128" s="548">
        <f>+'DLR-Op-Model'!H65</f>
        <v>149.384871</v>
      </c>
      <c r="I128" s="548">
        <f>+'DLR-Op-Model'!I65</f>
        <v>159.699411</v>
      </c>
      <c r="J128" s="548">
        <f>+'DLR-Op-Model'!J65</f>
        <v>160.421655</v>
      </c>
      <c r="K128" s="548">
        <f>+'DLR-Op-Model'!K65</f>
        <v>160.625319068314</v>
      </c>
      <c r="L128" s="548">
        <f>+'DLR-Op-Model'!L65</f>
        <v>160.703217399236</v>
      </c>
      <c r="M128" s="587"/>
      <c r="N128" s="312"/>
      <c r="O128" s="312"/>
      <c r="P128" s="588">
        <f t="shared" si="53"/>
        <v>160.703217399236</v>
      </c>
      <c r="Q128" s="312">
        <f t="shared" ref="Q128:Y128" si="60">+P128+Q$261</f>
        <v>160.736778682672</v>
      </c>
      <c r="R128" s="312">
        <f t="shared" si="60"/>
        <v>160.940476796149</v>
      </c>
      <c r="S128" s="312">
        <f t="shared" si="60"/>
        <v>161.147790451631</v>
      </c>
      <c r="T128" s="312">
        <f t="shared" si="60"/>
        <v>161.296137998073</v>
      </c>
      <c r="U128" s="312">
        <f t="shared" si="60"/>
        <v>161.323570352569</v>
      </c>
      <c r="V128" s="312">
        <f t="shared" si="60"/>
        <v>161.53216684995</v>
      </c>
      <c r="W128" s="312">
        <f t="shared" si="60"/>
        <v>161.764414892494</v>
      </c>
      <c r="X128" s="312">
        <f t="shared" si="60"/>
        <v>161.920868223891</v>
      </c>
      <c r="Y128" s="312">
        <f t="shared" si="60"/>
        <v>161.947061165752</v>
      </c>
      <c r="AA128" s="312">
        <f t="shared" ref="AA128:AD128" si="61">AVERAGEIF($F$78:$Y$78,AA$78,$F128:$Y128)</f>
        <v>151.081436</v>
      </c>
      <c r="AB128" s="312">
        <f t="shared" si="61"/>
        <v>160.621742537555</v>
      </c>
      <c r="AC128" s="312">
        <f t="shared" si="61"/>
        <v>161.176993899605</v>
      </c>
      <c r="AD128" s="312">
        <f t="shared" si="61"/>
        <v>161.791127783022</v>
      </c>
    </row>
    <row r="129" outlineLevel="1" spans="3:40">
      <c r="C129" s="544" t="s">
        <v>230</v>
      </c>
      <c r="D129" s="594" t="s">
        <v>229</v>
      </c>
      <c r="E129" s="546"/>
      <c r="F129" s="595"/>
      <c r="G129" s="595"/>
      <c r="H129" s="595"/>
      <c r="I129" s="595"/>
      <c r="J129" s="595"/>
      <c r="K129" s="595"/>
      <c r="L129" s="595"/>
      <c r="M129" s="599"/>
      <c r="N129" s="600"/>
      <c r="O129" s="600"/>
      <c r="P129" s="601"/>
      <c r="Q129" s="600">
        <f t="shared" ref="Q129:Y129" si="62">+$K$11</f>
        <v>49.408459415633</v>
      </c>
      <c r="R129" s="600">
        <f t="shared" si="62"/>
        <v>49.408459415633</v>
      </c>
      <c r="S129" s="600">
        <f t="shared" si="62"/>
        <v>49.408459415633</v>
      </c>
      <c r="T129" s="600">
        <f t="shared" si="62"/>
        <v>49.408459415633</v>
      </c>
      <c r="U129" s="600">
        <f t="shared" si="62"/>
        <v>49.408459415633</v>
      </c>
      <c r="V129" s="600">
        <f t="shared" si="62"/>
        <v>49.408459415633</v>
      </c>
      <c r="W129" s="600">
        <f t="shared" si="62"/>
        <v>49.408459415633</v>
      </c>
      <c r="X129" s="600">
        <f t="shared" si="62"/>
        <v>49.408459415633</v>
      </c>
      <c r="Y129" s="600">
        <f t="shared" si="62"/>
        <v>49.408459415633</v>
      </c>
      <c r="AA129" s="600"/>
      <c r="AB129" s="600">
        <f t="shared" ref="AB129:AD129" si="63">+$K$11</f>
        <v>49.408459415633</v>
      </c>
      <c r="AC129" s="600">
        <f t="shared" si="63"/>
        <v>49.408459415633</v>
      </c>
      <c r="AD129" s="600">
        <f t="shared" si="63"/>
        <v>49.408459415633</v>
      </c>
      <c r="AF129" s="108"/>
      <c r="AG129" s="108"/>
      <c r="AH129" s="108"/>
      <c r="AI129" s="108"/>
      <c r="AJ129" s="108"/>
      <c r="AK129" s="108"/>
      <c r="AL129" s="108"/>
      <c r="AM129" s="108"/>
      <c r="AN129" s="108"/>
    </row>
    <row r="130" outlineLevel="1" spans="3:30">
      <c r="C130" s="11" t="s">
        <v>231</v>
      </c>
      <c r="D130" s="9" t="s">
        <v>229</v>
      </c>
      <c r="F130" s="548"/>
      <c r="G130" s="548"/>
      <c r="H130" s="548"/>
      <c r="I130" s="548"/>
      <c r="J130" s="548"/>
      <c r="K130" s="548"/>
      <c r="L130" s="548"/>
      <c r="M130" s="587"/>
      <c r="N130" s="312"/>
      <c r="O130" s="312"/>
      <c r="P130" s="588"/>
      <c r="Q130" s="312">
        <f t="shared" ref="Q130:Y130" si="64">SUM(Q128:Q129)</f>
        <v>210.145238098305</v>
      </c>
      <c r="R130" s="312">
        <f t="shared" si="64"/>
        <v>210.348936211782</v>
      </c>
      <c r="S130" s="312">
        <f t="shared" si="64"/>
        <v>210.556249867264</v>
      </c>
      <c r="T130" s="312">
        <f t="shared" si="64"/>
        <v>210.704597413706</v>
      </c>
      <c r="U130" s="312">
        <f t="shared" si="64"/>
        <v>210.732029768202</v>
      </c>
      <c r="V130" s="312">
        <f t="shared" si="64"/>
        <v>210.940626265583</v>
      </c>
      <c r="W130" s="312">
        <f t="shared" si="64"/>
        <v>211.172874308127</v>
      </c>
      <c r="X130" s="312">
        <f t="shared" si="64"/>
        <v>211.329327639524</v>
      </c>
      <c r="Y130" s="312">
        <f t="shared" si="64"/>
        <v>211.355520581385</v>
      </c>
      <c r="AA130" s="312"/>
      <c r="AB130" s="312">
        <f t="shared" ref="AB130:AD130" si="65">SUM(AB128:AB129)</f>
        <v>210.030201953188</v>
      </c>
      <c r="AC130" s="312">
        <f t="shared" si="65"/>
        <v>210.585453315238</v>
      </c>
      <c r="AD130" s="312">
        <f t="shared" si="65"/>
        <v>211.199587198655</v>
      </c>
    </row>
    <row r="131" outlineLevel="1" spans="4:30">
      <c r="D131" s="9"/>
      <c r="F131" s="548"/>
      <c r="G131" s="548"/>
      <c r="H131" s="548"/>
      <c r="I131" s="548"/>
      <c r="J131" s="548"/>
      <c r="K131" s="548"/>
      <c r="L131" s="548"/>
      <c r="M131" s="587"/>
      <c r="N131" s="312"/>
      <c r="O131" s="312"/>
      <c r="P131" s="588"/>
      <c r="Q131" s="312"/>
      <c r="R131" s="312"/>
      <c r="S131" s="312"/>
      <c r="T131" s="312"/>
      <c r="U131" s="312"/>
      <c r="V131" s="312"/>
      <c r="W131" s="312"/>
      <c r="X131" s="312"/>
      <c r="Y131" s="312"/>
      <c r="AA131" s="312"/>
      <c r="AB131" s="312"/>
      <c r="AC131" s="312"/>
      <c r="AD131" s="312"/>
    </row>
    <row r="132" outlineLevel="1" spans="3:30">
      <c r="C132" s="11" t="s">
        <v>232</v>
      </c>
      <c r="D132" s="279" t="s">
        <v>65</v>
      </c>
      <c r="F132" s="596">
        <f>+'DLR-Op-Model'!F66</f>
        <v>0.265374431215267</v>
      </c>
      <c r="G132" s="596">
        <f>+'DLR-Op-Model'!G66</f>
        <v>0.189103088603947</v>
      </c>
      <c r="H132" s="596">
        <f>+'DLR-Op-Model'!H66</f>
        <v>1.2540091827639</v>
      </c>
      <c r="I132" s="596">
        <f>+'DLR-Op-Model'!I66</f>
        <v>0.486426340044548</v>
      </c>
      <c r="J132" s="596">
        <f>+'DLR-Op-Model'!J66</f>
        <v>0.412319645997917</v>
      </c>
      <c r="K132" s="596">
        <f>+'DLR-Op-Model'!K66</f>
        <v>0.271645140491186</v>
      </c>
      <c r="L132" s="596">
        <f>+'DLR-Op-Model'!L66</f>
        <v>0.292426324080896</v>
      </c>
      <c r="M132" s="602"/>
      <c r="N132" s="233"/>
      <c r="O132" s="233"/>
      <c r="P132" s="603">
        <f>+L132</f>
        <v>0.292426324080896</v>
      </c>
      <c r="Q132" s="596">
        <f>+'DLR-Op-Model'!M66</f>
        <v>0.34997229031072</v>
      </c>
      <c r="R132" s="596">
        <f>+'DLR-Op-Model'!N66</f>
        <v>0.440552007666971</v>
      </c>
      <c r="S132" s="596">
        <f>+'DLR-Op-Model'!O66</f>
        <v>0.290903033057877</v>
      </c>
      <c r="T132" s="596">
        <f>+'DLR-Op-Model'!P66</f>
        <v>0.329154696621507</v>
      </c>
      <c r="U132" s="596">
        <f>+'DLR-Op-Model'!Q66</f>
        <v>0.413894312561506</v>
      </c>
      <c r="V132" s="596">
        <f>+'DLR-Op-Model'!R66</f>
        <v>0.479318796555461</v>
      </c>
      <c r="W132" s="596">
        <f>+'DLR-Op-Model'!S66</f>
        <v>0.332036386457753</v>
      </c>
      <c r="X132" s="596">
        <f>+'DLR-Op-Model'!T66</f>
        <v>0.359846859017859</v>
      </c>
      <c r="Y132" s="596">
        <f>+'DLR-Op-Model'!U66</f>
        <v>0.4694428521783</v>
      </c>
      <c r="AA132" s="233"/>
      <c r="AB132" s="596">
        <f>+'DLR-Op-Model'!X66</f>
        <v>1.32625095367478</v>
      </c>
      <c r="AC132" s="596">
        <f>+'DLR-Op-Model'!Y66</f>
        <v>1.47444087908034</v>
      </c>
      <c r="AD132" s="596">
        <f>+'DLR-Op-Model'!Z66</f>
        <v>1.64057721375169</v>
      </c>
    </row>
    <row r="133" outlineLevel="1" spans="3:30">
      <c r="C133" s="11" t="s">
        <v>233</v>
      </c>
      <c r="D133" s="279" t="s">
        <v>65</v>
      </c>
      <c r="F133" s="197"/>
      <c r="G133" s="197"/>
      <c r="H133" s="197"/>
      <c r="I133" s="197"/>
      <c r="J133" s="197"/>
      <c r="K133" s="197"/>
      <c r="L133" s="197"/>
      <c r="M133" s="604"/>
      <c r="N133" s="197"/>
      <c r="O133" s="197"/>
      <c r="P133" s="605"/>
      <c r="Q133" s="197">
        <f t="shared" ref="Q133:Y133" si="66">+Q126/Q130</f>
        <v>0.276241606668975</v>
      </c>
      <c r="R133" s="197">
        <f t="shared" si="66"/>
        <v>0.348118021268217</v>
      </c>
      <c r="S133" s="197">
        <f t="shared" si="66"/>
        <v>0.226396698830857</v>
      </c>
      <c r="T133" s="197">
        <f t="shared" si="66"/>
        <v>0.279657862328168</v>
      </c>
      <c r="U133" s="197">
        <f t="shared" si="66"/>
        <v>0.395535001696857</v>
      </c>
      <c r="V133" s="197">
        <f t="shared" si="66"/>
        <v>0.463758118520288</v>
      </c>
      <c r="W133" s="197">
        <f t="shared" si="66"/>
        <v>0.341250125731211</v>
      </c>
      <c r="X133" s="197">
        <f t="shared" si="66"/>
        <v>0.394359427122394</v>
      </c>
      <c r="Y133" s="197">
        <f t="shared" si="66"/>
        <v>0.49828282055921</v>
      </c>
      <c r="AA133" s="197"/>
      <c r="AB133" s="197">
        <f t="shared" ref="AB133:AD133" si="67">+AB126/AB130</f>
        <v>1.02281859801656</v>
      </c>
      <c r="AC133" s="197">
        <f t="shared" si="67"/>
        <v>1.24971873527986</v>
      </c>
      <c r="AD133" s="197">
        <f t="shared" si="67"/>
        <v>1.69764884552534</v>
      </c>
    </row>
    <row r="134" outlineLevel="1" spans="13:16">
      <c r="M134" s="576"/>
      <c r="P134" s="577"/>
    </row>
    <row r="135" outlineLevel="1" spans="3:30">
      <c r="C135" s="11" t="s">
        <v>234</v>
      </c>
      <c r="D135" s="279" t="s">
        <v>65</v>
      </c>
      <c r="M135" s="576"/>
      <c r="P135" s="577"/>
      <c r="Q135" s="197">
        <f t="shared" ref="Q135:Y135" si="68">+Q133-Q132</f>
        <v>-0.0737306836417457</v>
      </c>
      <c r="R135" s="197">
        <f t="shared" si="68"/>
        <v>-0.0924339863987533</v>
      </c>
      <c r="S135" s="197">
        <f t="shared" si="68"/>
        <v>-0.0645063342270203</v>
      </c>
      <c r="T135" s="197">
        <f t="shared" si="68"/>
        <v>-0.0494968342933396</v>
      </c>
      <c r="U135" s="197">
        <f t="shared" si="68"/>
        <v>-0.0183593108646489</v>
      </c>
      <c r="V135" s="197">
        <f t="shared" si="68"/>
        <v>-0.0155606780351734</v>
      </c>
      <c r="W135" s="197">
        <f t="shared" si="68"/>
        <v>0.00921373927345809</v>
      </c>
      <c r="X135" s="197">
        <f t="shared" si="68"/>
        <v>0.034512568104535</v>
      </c>
      <c r="Y135" s="197">
        <f t="shared" si="68"/>
        <v>0.0288399683809103</v>
      </c>
      <c r="AA135" s="197"/>
      <c r="AB135" s="197">
        <f t="shared" ref="AB135:AD135" si="69">+AB133-AB132</f>
        <v>-0.303432355658223</v>
      </c>
      <c r="AC135" s="197">
        <f t="shared" si="69"/>
        <v>-0.224722143800483</v>
      </c>
      <c r="AD135" s="197">
        <f t="shared" si="69"/>
        <v>0.0570716317736426</v>
      </c>
    </row>
    <row r="136" outlineLevel="1" spans="3:30">
      <c r="C136" s="11" t="s">
        <v>235</v>
      </c>
      <c r="D136" s="736" t="s">
        <v>56</v>
      </c>
      <c r="M136" s="576"/>
      <c r="P136" s="577"/>
      <c r="Q136" s="231">
        <f t="shared" ref="Q136:Y136" si="70">+Q135/Q132</f>
        <v>-0.210675775434348</v>
      </c>
      <c r="R136" s="231">
        <f t="shared" si="70"/>
        <v>-0.209814016938104</v>
      </c>
      <c r="S136" s="231">
        <f t="shared" si="70"/>
        <v>-0.221745141495951</v>
      </c>
      <c r="T136" s="231">
        <f t="shared" si="70"/>
        <v>-0.150375597861378</v>
      </c>
      <c r="U136" s="231">
        <f t="shared" si="70"/>
        <v>-0.0443574852503456</v>
      </c>
      <c r="V136" s="231">
        <f t="shared" si="70"/>
        <v>-0.0324641515146024</v>
      </c>
      <c r="W136" s="231">
        <f t="shared" si="70"/>
        <v>0.0277491854785934</v>
      </c>
      <c r="X136" s="231">
        <f t="shared" si="70"/>
        <v>0.0959090436379831</v>
      </c>
      <c r="Y136" s="231">
        <f t="shared" si="70"/>
        <v>0.0614344605463426</v>
      </c>
      <c r="AA136" s="231"/>
      <c r="AB136" s="231">
        <f t="shared" ref="AB136:AD136" si="71">+AB135/AB132</f>
        <v>-0.228789547572027</v>
      </c>
      <c r="AC136" s="231">
        <f t="shared" si="71"/>
        <v>-0.15241176976906</v>
      </c>
      <c r="AD136" s="231">
        <f t="shared" si="71"/>
        <v>0.03478753166584</v>
      </c>
    </row>
    <row r="137" outlineLevel="1" spans="13:16">
      <c r="M137" s="576"/>
      <c r="P137" s="577"/>
    </row>
    <row r="138" outlineLevel="1" spans="3:30">
      <c r="C138" s="11" t="s">
        <v>236</v>
      </c>
      <c r="D138" s="9" t="s">
        <v>229</v>
      </c>
      <c r="F138" s="548">
        <f>+'DLR-Op-Model'!F68</f>
        <v>149.915428</v>
      </c>
      <c r="G138" s="548">
        <f>+'DLR-Op-Model'!G68</f>
        <v>150.210714</v>
      </c>
      <c r="H138" s="548">
        <f>+'DLR-Op-Model'!H68</f>
        <v>151.764542</v>
      </c>
      <c r="I138" s="548">
        <f>+'DLR-Op-Model'!I68</f>
        <v>162.059914</v>
      </c>
      <c r="J138" s="548">
        <f>+'DLR-Op-Model'!J68</f>
        <v>162.599529</v>
      </c>
      <c r="K138" s="548">
        <f>+'DLR-Op-Model'!K68</f>
        <v>162.803193068314</v>
      </c>
      <c r="L138" s="548">
        <f>+'DLR-Op-Model'!L68</f>
        <v>162.881091399236</v>
      </c>
      <c r="M138" s="587"/>
      <c r="N138" s="312"/>
      <c r="O138" s="312"/>
      <c r="P138" s="588">
        <f>+L138</f>
        <v>162.881091399236</v>
      </c>
      <c r="Q138" s="312">
        <f t="shared" ref="Q138:Y138" si="72">+P138+Q$261</f>
        <v>162.914652682672</v>
      </c>
      <c r="R138" s="312">
        <f t="shared" si="72"/>
        <v>163.118350796149</v>
      </c>
      <c r="S138" s="312">
        <f t="shared" si="72"/>
        <v>163.325664451631</v>
      </c>
      <c r="T138" s="312">
        <f t="shared" si="72"/>
        <v>163.474011998073</v>
      </c>
      <c r="U138" s="312">
        <f t="shared" si="72"/>
        <v>163.501444352569</v>
      </c>
      <c r="V138" s="312">
        <f t="shared" si="72"/>
        <v>163.71004084995</v>
      </c>
      <c r="W138" s="312">
        <f t="shared" si="72"/>
        <v>163.942288892494</v>
      </c>
      <c r="X138" s="312">
        <f t="shared" si="72"/>
        <v>164.098742223891</v>
      </c>
      <c r="Y138" s="312">
        <f t="shared" si="72"/>
        <v>164.124935165752</v>
      </c>
      <c r="AA138" s="312">
        <f t="shared" ref="AA138:AD138" si="73">AVERAGEIF($F$78:$Y$78,AA$78,$F138:$Y138)</f>
        <v>153.4876495</v>
      </c>
      <c r="AB138" s="312">
        <f t="shared" si="73"/>
        <v>162.799616537555</v>
      </c>
      <c r="AC138" s="312">
        <f t="shared" si="73"/>
        <v>163.354867899605</v>
      </c>
      <c r="AD138" s="312">
        <f t="shared" si="73"/>
        <v>163.969001783022</v>
      </c>
    </row>
    <row r="139" outlineLevel="1" spans="3:30">
      <c r="C139" s="544" t="s">
        <v>230</v>
      </c>
      <c r="D139" s="594" t="s">
        <v>229</v>
      </c>
      <c r="E139" s="546"/>
      <c r="F139" s="595"/>
      <c r="G139" s="595"/>
      <c r="H139" s="595"/>
      <c r="I139" s="595"/>
      <c r="J139" s="595"/>
      <c r="K139" s="595"/>
      <c r="L139" s="595"/>
      <c r="M139" s="599"/>
      <c r="N139" s="600"/>
      <c r="O139" s="600"/>
      <c r="P139" s="601"/>
      <c r="Q139" s="600">
        <f t="shared" ref="Q139:Y139" si="74">+$K$11</f>
        <v>49.408459415633</v>
      </c>
      <c r="R139" s="600">
        <f t="shared" si="74"/>
        <v>49.408459415633</v>
      </c>
      <c r="S139" s="600">
        <f t="shared" si="74"/>
        <v>49.408459415633</v>
      </c>
      <c r="T139" s="600">
        <f t="shared" si="74"/>
        <v>49.408459415633</v>
      </c>
      <c r="U139" s="600">
        <f t="shared" si="74"/>
        <v>49.408459415633</v>
      </c>
      <c r="V139" s="600">
        <f t="shared" si="74"/>
        <v>49.408459415633</v>
      </c>
      <c r="W139" s="600">
        <f t="shared" si="74"/>
        <v>49.408459415633</v>
      </c>
      <c r="X139" s="600">
        <f t="shared" si="74"/>
        <v>49.408459415633</v>
      </c>
      <c r="Y139" s="600">
        <f t="shared" si="74"/>
        <v>49.408459415633</v>
      </c>
      <c r="AA139" s="600"/>
      <c r="AB139" s="600">
        <f t="shared" ref="AB139:AD139" si="75">+$K$11</f>
        <v>49.408459415633</v>
      </c>
      <c r="AC139" s="600">
        <f t="shared" si="75"/>
        <v>49.408459415633</v>
      </c>
      <c r="AD139" s="600">
        <f t="shared" si="75"/>
        <v>49.408459415633</v>
      </c>
    </row>
    <row r="140" outlineLevel="1" spans="3:30">
      <c r="C140" s="11" t="s">
        <v>237</v>
      </c>
      <c r="D140" s="346" t="s">
        <v>229</v>
      </c>
      <c r="M140" s="576"/>
      <c r="P140" s="577"/>
      <c r="Q140" s="312">
        <f t="shared" ref="Q140:Y140" si="76">SUM(Q138:Q139)</f>
        <v>212.323112098305</v>
      </c>
      <c r="R140" s="312">
        <f t="shared" si="76"/>
        <v>212.526810211782</v>
      </c>
      <c r="S140" s="312">
        <f t="shared" si="76"/>
        <v>212.734123867264</v>
      </c>
      <c r="T140" s="312">
        <f t="shared" si="76"/>
        <v>212.882471413706</v>
      </c>
      <c r="U140" s="312">
        <f t="shared" si="76"/>
        <v>212.909903768202</v>
      </c>
      <c r="V140" s="312">
        <f t="shared" si="76"/>
        <v>213.118500265583</v>
      </c>
      <c r="W140" s="312">
        <f t="shared" si="76"/>
        <v>213.350748308127</v>
      </c>
      <c r="X140" s="312">
        <f t="shared" si="76"/>
        <v>213.507201639524</v>
      </c>
      <c r="Y140" s="312">
        <f t="shared" si="76"/>
        <v>213.533394581385</v>
      </c>
      <c r="AA140" s="312"/>
      <c r="AB140" s="312">
        <f t="shared" ref="AB140:AD140" si="77">SUM(AB138:AB139)</f>
        <v>212.208075953188</v>
      </c>
      <c r="AC140" s="312">
        <f t="shared" si="77"/>
        <v>212.763327315238</v>
      </c>
      <c r="AD140" s="312">
        <f t="shared" si="77"/>
        <v>213.377461198655</v>
      </c>
    </row>
    <row r="141" outlineLevel="1" spans="13:40">
      <c r="M141" s="576"/>
      <c r="P141" s="577"/>
      <c r="AF141" s="108"/>
      <c r="AG141" s="108"/>
      <c r="AH141" s="108"/>
      <c r="AI141" s="108"/>
      <c r="AJ141" s="108"/>
      <c r="AK141" s="108"/>
      <c r="AL141" s="108"/>
      <c r="AM141" s="108"/>
      <c r="AN141" s="108"/>
    </row>
    <row r="142" outlineLevel="1" spans="3:30">
      <c r="C142" s="11" t="s">
        <v>238</v>
      </c>
      <c r="D142" s="279" t="s">
        <v>65</v>
      </c>
      <c r="F142" s="596">
        <f>+'DLR-Op-Model'!F70</f>
        <v>1.3901571224544</v>
      </c>
      <c r="G142" s="596">
        <f>+'DLR-Op-Model'!G70</f>
        <v>1.3606419579365</v>
      </c>
      <c r="H142" s="596">
        <f>+'DLR-Op-Model'!H70</f>
        <v>1.31450994659873</v>
      </c>
      <c r="I142" s="596">
        <f>+'DLR-Op-Model'!I70</f>
        <v>1.57581843465621</v>
      </c>
      <c r="J142" s="596">
        <f>+'DLR-Op-Model'!J70</f>
        <v>1.49923558511661</v>
      </c>
      <c r="K142" s="596">
        <f>+'DLR-Op-Model'!K70</f>
        <v>1.37494826265091</v>
      </c>
      <c r="L142" s="596">
        <f>+'DLR-Op-Model'!L70</f>
        <v>1.44889084154215</v>
      </c>
      <c r="M142" s="602"/>
      <c r="N142" s="233"/>
      <c r="O142" s="233"/>
      <c r="P142" s="603">
        <f>+L142</f>
        <v>1.44889084154215</v>
      </c>
      <c r="Q142" s="596">
        <f>+'DLR-Op-Model'!M70</f>
        <v>1.46553967321307</v>
      </c>
      <c r="R142" s="596">
        <f>+'DLR-Op-Model'!N70</f>
        <v>1.65633227096622</v>
      </c>
      <c r="S142" s="596">
        <f>+'DLR-Op-Model'!O70</f>
        <v>1.5118677295251</v>
      </c>
      <c r="T142" s="596">
        <f>+'DLR-Op-Model'!P70</f>
        <v>1.61190322096849</v>
      </c>
      <c r="U142" s="596">
        <f>+'DLR-Op-Model'!Q70</f>
        <v>1.63005568102659</v>
      </c>
      <c r="V142" s="596">
        <f>+'DLR-Op-Model'!R70</f>
        <v>1.86930491428509</v>
      </c>
      <c r="W142" s="596">
        <f>+'DLR-Op-Model'!S70</f>
        <v>1.70558241844058</v>
      </c>
      <c r="X142" s="596">
        <f>+'DLR-Op-Model'!T70</f>
        <v>1.79724078696887</v>
      </c>
      <c r="Y142" s="596">
        <f>+'DLR-Op-Model'!U70</f>
        <v>1.83574766305496</v>
      </c>
      <c r="AA142" s="233"/>
      <c r="AB142" s="596">
        <f>+'DLR-Op-Model'!X70</f>
        <v>5.78855883338274</v>
      </c>
      <c r="AC142" s="596">
        <f>+'DLR-Op-Model'!Y70</f>
        <v>6.4101296368669</v>
      </c>
      <c r="AD142" s="596">
        <f>+'DLR-Op-Model'!Z70</f>
        <v>7.20782217635261</v>
      </c>
    </row>
    <row r="143" outlineLevel="1" spans="3:30">
      <c r="C143" s="11" t="s">
        <v>239</v>
      </c>
      <c r="D143" s="279" t="s">
        <v>65</v>
      </c>
      <c r="F143" s="197"/>
      <c r="G143" s="197"/>
      <c r="H143" s="197"/>
      <c r="I143" s="197"/>
      <c r="J143" s="197"/>
      <c r="K143" s="197"/>
      <c r="L143" s="197"/>
      <c r="M143" s="604"/>
      <c r="N143" s="197"/>
      <c r="O143" s="197"/>
      <c r="P143" s="605"/>
      <c r="Q143" s="197">
        <f t="shared" ref="Q143:Y143" si="78">+Q242/Q140</f>
        <v>1.31649511408695</v>
      </c>
      <c r="R143" s="197">
        <f t="shared" si="78"/>
        <v>1.47389971721522</v>
      </c>
      <c r="S143" s="197">
        <f t="shared" si="78"/>
        <v>1.35465647702517</v>
      </c>
      <c r="T143" s="197">
        <f t="shared" si="78"/>
        <v>1.46827890483516</v>
      </c>
      <c r="U143" s="197">
        <f t="shared" si="78"/>
        <v>1.55553615396834</v>
      </c>
      <c r="V143" s="197">
        <f t="shared" si="78"/>
        <v>1.74757017175106</v>
      </c>
      <c r="W143" s="197">
        <f t="shared" si="78"/>
        <v>1.61888742962453</v>
      </c>
      <c r="X143" s="197">
        <f t="shared" si="78"/>
        <v>1.72775966598172</v>
      </c>
      <c r="Y143" s="197">
        <f t="shared" si="78"/>
        <v>1.79581268512282</v>
      </c>
      <c r="AA143" s="197"/>
      <c r="AB143" s="197">
        <f t="shared" ref="AB143:AD143" si="79">+AB242/AB140</f>
        <v>4.63290675588646</v>
      </c>
      <c r="AC143" s="197">
        <f t="shared" si="79"/>
        <v>5.85244071335295</v>
      </c>
      <c r="AD143" s="197">
        <f t="shared" si="79"/>
        <v>6.89006927192139</v>
      </c>
    </row>
    <row r="144" outlineLevel="1" spans="4:16">
      <c r="D144" s="279"/>
      <c r="M144" s="576"/>
      <c r="P144" s="577"/>
    </row>
    <row r="145" outlineLevel="1" spans="3:30">
      <c r="C145" s="11" t="s">
        <v>240</v>
      </c>
      <c r="D145" s="279" t="s">
        <v>65</v>
      </c>
      <c r="M145" s="576"/>
      <c r="P145" s="577"/>
      <c r="Q145" s="197">
        <f t="shared" ref="Q145:Y145" si="80">+Q143-Q142</f>
        <v>-0.149044559126129</v>
      </c>
      <c r="R145" s="197">
        <f t="shared" si="80"/>
        <v>-0.182432553751004</v>
      </c>
      <c r="S145" s="197">
        <f t="shared" si="80"/>
        <v>-0.157211252499924</v>
      </c>
      <c r="T145" s="197">
        <f t="shared" si="80"/>
        <v>-0.143624316133332</v>
      </c>
      <c r="U145" s="197">
        <f t="shared" si="80"/>
        <v>-0.0745195270582442</v>
      </c>
      <c r="V145" s="197">
        <f t="shared" si="80"/>
        <v>-0.121734742534033</v>
      </c>
      <c r="W145" s="197">
        <f t="shared" si="80"/>
        <v>-0.08669498881605</v>
      </c>
      <c r="X145" s="197">
        <f t="shared" si="80"/>
        <v>-0.0694811209871511</v>
      </c>
      <c r="Y145" s="197">
        <f t="shared" si="80"/>
        <v>-0.0399349779321387</v>
      </c>
      <c r="AA145" s="197"/>
      <c r="AB145" s="197">
        <f t="shared" ref="AB145:AD145" si="81">+AB143-AB142</f>
        <v>-1.15565207749628</v>
      </c>
      <c r="AC145" s="197">
        <f t="shared" si="81"/>
        <v>-0.557688923513956</v>
      </c>
      <c r="AD145" s="197">
        <f t="shared" si="81"/>
        <v>-0.317752904431223</v>
      </c>
    </row>
    <row r="146" outlineLevel="1" spans="3:30">
      <c r="C146" s="11" t="s">
        <v>241</v>
      </c>
      <c r="D146" s="736" t="s">
        <v>56</v>
      </c>
      <c r="M146" s="576"/>
      <c r="P146" s="577"/>
      <c r="Q146" s="231">
        <f t="shared" ref="Q146:Y146" si="82">+Q145/Q142</f>
        <v>-0.101699436630986</v>
      </c>
      <c r="R146" s="231">
        <f t="shared" si="82"/>
        <v>-0.110142485870049</v>
      </c>
      <c r="S146" s="231">
        <f t="shared" si="82"/>
        <v>-0.103984792736668</v>
      </c>
      <c r="T146" s="231">
        <f t="shared" si="82"/>
        <v>-0.0891023197081501</v>
      </c>
      <c r="U146" s="231">
        <f t="shared" si="82"/>
        <v>-0.0457159395998747</v>
      </c>
      <c r="V146" s="231">
        <f t="shared" si="82"/>
        <v>-0.0651229992516174</v>
      </c>
      <c r="W146" s="231">
        <f t="shared" si="82"/>
        <v>-0.0508301374819023</v>
      </c>
      <c r="X146" s="231">
        <f t="shared" si="82"/>
        <v>-0.0386598843576961</v>
      </c>
      <c r="Y146" s="231">
        <f t="shared" si="82"/>
        <v>-0.0217540671497743</v>
      </c>
      <c r="AA146" s="231"/>
      <c r="AB146" s="231">
        <f t="shared" ref="AB146:AD146" si="83">+AB145/AB142</f>
        <v>-0.199644179278546</v>
      </c>
      <c r="AC146" s="231">
        <f t="shared" si="83"/>
        <v>-0.0870011926602063</v>
      </c>
      <c r="AD146" s="231">
        <f t="shared" si="83"/>
        <v>-0.0440844538970045</v>
      </c>
    </row>
    <row r="147" outlineLevel="1" spans="4:30">
      <c r="D147" s="279"/>
      <c r="F147" s="197"/>
      <c r="G147" s="197"/>
      <c r="H147" s="197"/>
      <c r="I147" s="197"/>
      <c r="J147" s="197"/>
      <c r="K147" s="197"/>
      <c r="L147" s="197"/>
      <c r="M147" s="604"/>
      <c r="N147" s="197"/>
      <c r="O147" s="197"/>
      <c r="P147" s="605"/>
      <c r="Q147" s="197"/>
      <c r="R147" s="197"/>
      <c r="S147" s="197"/>
      <c r="T147" s="197"/>
      <c r="U147" s="197"/>
      <c r="V147" s="197"/>
      <c r="W147" s="197"/>
      <c r="X147" s="197"/>
      <c r="Y147" s="197"/>
      <c r="AA147" s="197"/>
      <c r="AB147" s="197"/>
      <c r="AC147" s="197"/>
      <c r="AD147" s="197"/>
    </row>
    <row r="148" outlineLevel="1" spans="3:30">
      <c r="C148" s="11" t="s">
        <v>242</v>
      </c>
      <c r="D148" s="279" t="s">
        <v>65</v>
      </c>
      <c r="F148" s="596">
        <f>+'DLR-Op-Model'!F71</f>
        <v>1.20507943985592</v>
      </c>
      <c r="G148" s="596">
        <f>+'DLR-Op-Model'!G71</f>
        <v>1.21927387949171</v>
      </c>
      <c r="H148" s="596">
        <f>+'DLR-Op-Model'!H71</f>
        <v>1.19152996883818</v>
      </c>
      <c r="I148" s="596">
        <f>+'DLR-Op-Model'!I71</f>
        <v>1.4164391078228</v>
      </c>
      <c r="J148" s="596">
        <f>+'DLR-Op-Model'!J71</f>
        <v>1.29911200419283</v>
      </c>
      <c r="K148" s="596">
        <f>+'DLR-Op-Model'!K71</f>
        <v>1.23276731799866</v>
      </c>
      <c r="L148" s="596">
        <f>+'DLR-Op-Model'!L71</f>
        <v>1.32984349170692</v>
      </c>
      <c r="M148" s="602"/>
      <c r="N148" s="233"/>
      <c r="O148" s="233"/>
      <c r="P148" s="603">
        <f>+L148</f>
        <v>1.32984349170692</v>
      </c>
      <c r="Q148" s="596">
        <f>+'DLR-Op-Model'!M71</f>
        <v>1.30982777419351</v>
      </c>
      <c r="R148" s="596">
        <f>+'DLR-Op-Model'!N71</f>
        <v>1.43474425039284</v>
      </c>
      <c r="S148" s="596">
        <f>+'DLR-Op-Model'!O71</f>
        <v>1.36950269911136</v>
      </c>
      <c r="T148" s="596">
        <f>+'DLR-Op-Model'!P71</f>
        <v>1.46450213225934</v>
      </c>
      <c r="U148" s="596">
        <f>+'DLR-Op-Model'!Q71</f>
        <v>1.45894742055423</v>
      </c>
      <c r="V148" s="596">
        <f>+'DLR-Op-Model'!R71</f>
        <v>1.62385650885836</v>
      </c>
      <c r="W148" s="596">
        <f>+'DLR-Op-Model'!S71</f>
        <v>1.54506290505118</v>
      </c>
      <c r="X148" s="596">
        <f>+'DLR-Op-Model'!T71</f>
        <v>1.65011141421369</v>
      </c>
      <c r="Y148" s="596">
        <f>+'DLR-Op-Model'!U71</f>
        <v>1.62606186724179</v>
      </c>
      <c r="AA148" s="233"/>
      <c r="AB148" s="596">
        <f>+'DLR-Op-Model'!X71</f>
        <v>5.17156859107904</v>
      </c>
      <c r="AC148" s="596">
        <f>+'DLR-Op-Model'!Y71</f>
        <v>5.72772570965931</v>
      </c>
      <c r="AD148" s="596">
        <f>+'DLR-Op-Model'!Z71</f>
        <v>6.44510975236006</v>
      </c>
    </row>
    <row r="149" outlineLevel="1" spans="3:30">
      <c r="C149" s="11" t="s">
        <v>243</v>
      </c>
      <c r="D149" s="279" t="s">
        <v>65</v>
      </c>
      <c r="F149" s="197"/>
      <c r="G149" s="197"/>
      <c r="H149" s="197"/>
      <c r="I149" s="197"/>
      <c r="J149" s="197"/>
      <c r="K149" s="197"/>
      <c r="L149" s="197"/>
      <c r="M149" s="604"/>
      <c r="N149" s="197"/>
      <c r="O149" s="197"/>
      <c r="P149" s="605"/>
      <c r="Q149" s="197">
        <f t="shared" ref="Q149:Y149" si="84">+Q254/Q140</f>
        <v>1.35299761708074</v>
      </c>
      <c r="R149" s="197">
        <f t="shared" si="84"/>
        <v>1.44486322713268</v>
      </c>
      <c r="S149" s="197">
        <f t="shared" si="84"/>
        <v>1.39884768547615</v>
      </c>
      <c r="T149" s="197">
        <f t="shared" si="84"/>
        <v>1.50974741420133</v>
      </c>
      <c r="U149" s="197">
        <f t="shared" si="84"/>
        <v>1.57859731385233</v>
      </c>
      <c r="V149" s="197">
        <f t="shared" si="84"/>
        <v>1.69612902610435</v>
      </c>
      <c r="W149" s="197">
        <f t="shared" si="84"/>
        <v>1.64704413330876</v>
      </c>
      <c r="X149" s="197">
        <f t="shared" si="84"/>
        <v>1.76760103994827</v>
      </c>
      <c r="Y149" s="197">
        <f t="shared" si="84"/>
        <v>1.78747036623933</v>
      </c>
      <c r="AA149" s="197"/>
      <c r="AB149" s="197">
        <f t="shared" ref="AB149:AD149" si="85">+AB254/AB140</f>
        <v>4.31563443382821</v>
      </c>
      <c r="AC149" s="197">
        <f t="shared" si="85"/>
        <v>5.93219042257666</v>
      </c>
      <c r="AD149" s="197">
        <f t="shared" si="85"/>
        <v>6.89836091891172</v>
      </c>
    </row>
    <row r="150" outlineLevel="1" spans="13:16">
      <c r="M150" s="576"/>
      <c r="P150" s="577"/>
    </row>
    <row r="151" outlineLevel="1" spans="3:30">
      <c r="C151" s="11" t="s">
        <v>244</v>
      </c>
      <c r="D151" s="279" t="s">
        <v>65</v>
      </c>
      <c r="M151" s="576"/>
      <c r="P151" s="577"/>
      <c r="Q151" s="197">
        <f t="shared" ref="Q151:Y151" si="86">+Q149-Q148</f>
        <v>0.0431698428872276</v>
      </c>
      <c r="R151" s="197">
        <f t="shared" si="86"/>
        <v>0.0101189767398393</v>
      </c>
      <c r="S151" s="197">
        <f t="shared" si="86"/>
        <v>0.0293449863647897</v>
      </c>
      <c r="T151" s="197">
        <f t="shared" si="86"/>
        <v>0.0452452819419975</v>
      </c>
      <c r="U151" s="197">
        <f t="shared" si="86"/>
        <v>0.119649893298099</v>
      </c>
      <c r="V151" s="197">
        <f t="shared" si="86"/>
        <v>0.0722725172459877</v>
      </c>
      <c r="W151" s="197">
        <f t="shared" si="86"/>
        <v>0.101981228257572</v>
      </c>
      <c r="X151" s="197">
        <f t="shared" si="86"/>
        <v>0.117489625734579</v>
      </c>
      <c r="Y151" s="197">
        <f t="shared" si="86"/>
        <v>0.161408498997544</v>
      </c>
      <c r="AA151" s="197"/>
      <c r="AB151" s="197">
        <f t="shared" ref="AB151:AD151" si="87">+AB149-AB148</f>
        <v>-0.855934157250827</v>
      </c>
      <c r="AC151" s="197">
        <f t="shared" si="87"/>
        <v>0.204464712917356</v>
      </c>
      <c r="AD151" s="197">
        <f t="shared" si="87"/>
        <v>0.453251166551663</v>
      </c>
    </row>
    <row r="152" outlineLevel="1" spans="3:30">
      <c r="C152" s="11" t="s">
        <v>245</v>
      </c>
      <c r="D152" s="736" t="s">
        <v>56</v>
      </c>
      <c r="M152" s="576"/>
      <c r="P152" s="577"/>
      <c r="Q152" s="231">
        <f t="shared" ref="Q152:Y152" si="88">+Q151/Q148</f>
        <v>0.0329584115849185</v>
      </c>
      <c r="R152" s="231">
        <f t="shared" si="88"/>
        <v>0.00705280870585033</v>
      </c>
      <c r="S152" s="231">
        <f t="shared" si="88"/>
        <v>0.0214274761078097</v>
      </c>
      <c r="T152" s="231">
        <f t="shared" si="88"/>
        <v>0.0308946507795083</v>
      </c>
      <c r="U152" s="231">
        <f t="shared" si="88"/>
        <v>0.0820111071944223</v>
      </c>
      <c r="V152" s="231">
        <f t="shared" si="88"/>
        <v>0.0445067140179758</v>
      </c>
      <c r="W152" s="231">
        <f t="shared" si="88"/>
        <v>0.0660045800880799</v>
      </c>
      <c r="X152" s="231">
        <f t="shared" si="88"/>
        <v>0.071201026017122</v>
      </c>
      <c r="Y152" s="231">
        <f t="shared" si="88"/>
        <v>0.0992634427073387</v>
      </c>
      <c r="AA152" s="231"/>
      <c r="AB152" s="231">
        <f t="shared" ref="AB152:AD152" si="89">+AB151/AB148</f>
        <v>-0.165507648632431</v>
      </c>
      <c r="AC152" s="231">
        <f t="shared" si="89"/>
        <v>0.0356973645879278</v>
      </c>
      <c r="AD152" s="231">
        <f t="shared" si="89"/>
        <v>0.070324817414582</v>
      </c>
    </row>
    <row r="154" spans="2:30">
      <c r="B154" s="254"/>
      <c r="C154" s="254"/>
      <c r="D154" s="255"/>
      <c r="E154" s="256"/>
      <c r="F154" s="257" t="str">
        <f>$F$82</f>
        <v>Historical:</v>
      </c>
      <c r="G154" s="257"/>
      <c r="H154" s="257"/>
      <c r="I154" s="257"/>
      <c r="J154" s="296"/>
      <c r="K154" s="297" t="str">
        <f>$K$82</f>
        <v>Projected:</v>
      </c>
      <c r="L154" s="257"/>
      <c r="M154" s="297" t="str">
        <f>$M$82</f>
        <v>Transaction Adjustments:</v>
      </c>
      <c r="N154" s="257"/>
      <c r="O154" s="257"/>
      <c r="P154" s="296"/>
      <c r="Q154" s="257" t="str">
        <f>$Q$82</f>
        <v>Projected:</v>
      </c>
      <c r="R154" s="257"/>
      <c r="S154" s="257"/>
      <c r="T154" s="257"/>
      <c r="U154" s="257"/>
      <c r="V154" s="257"/>
      <c r="W154" s="257"/>
      <c r="X154" s="257"/>
      <c r="Y154" s="257"/>
      <c r="AA154" s="257" t="str">
        <f>$AA$82</f>
        <v>Historical:</v>
      </c>
      <c r="AB154" s="297" t="str">
        <f>$AB$82</f>
        <v>Projected:</v>
      </c>
      <c r="AC154" s="257"/>
      <c r="AD154" s="257"/>
    </row>
    <row r="155" spans="2:30">
      <c r="B155" s="173" t="s">
        <v>246</v>
      </c>
      <c r="C155" s="173"/>
      <c r="D155" s="174" t="str">
        <f>+$D$5</f>
        <v>Units:</v>
      </c>
      <c r="E155" s="175"/>
      <c r="F155" s="258">
        <f>$F$83</f>
        <v>42460</v>
      </c>
      <c r="G155" s="259">
        <f>$G$83</f>
        <v>42551</v>
      </c>
      <c r="H155" s="260">
        <f>$H$83</f>
        <v>42643</v>
      </c>
      <c r="I155" s="298">
        <f>$I$83</f>
        <v>42735</v>
      </c>
      <c r="J155" s="258">
        <f>$J$83</f>
        <v>42825</v>
      </c>
      <c r="K155" s="299">
        <f>$K$83</f>
        <v>42916</v>
      </c>
      <c r="L155" s="260">
        <f>$L$83</f>
        <v>43008</v>
      </c>
      <c r="M155" s="550" t="str">
        <f>$M$83</f>
        <v>Seller</v>
      </c>
      <c r="N155" s="260" t="str">
        <f>$N$83</f>
        <v>Debit</v>
      </c>
      <c r="O155" s="260" t="str">
        <f>$O$83</f>
        <v>Credit</v>
      </c>
      <c r="P155" s="551">
        <f>$P$83</f>
        <v>43008</v>
      </c>
      <c r="Q155" s="298">
        <f>$Q$83</f>
        <v>43100</v>
      </c>
      <c r="R155" s="258">
        <f>$R$83</f>
        <v>43190</v>
      </c>
      <c r="S155" s="259">
        <f>$S$83</f>
        <v>43281</v>
      </c>
      <c r="T155" s="260">
        <f>$T$83</f>
        <v>43373</v>
      </c>
      <c r="U155" s="298">
        <f>$U$83</f>
        <v>43465</v>
      </c>
      <c r="V155" s="258">
        <f>$V$83</f>
        <v>43555</v>
      </c>
      <c r="W155" s="259">
        <f>$W$83</f>
        <v>43646</v>
      </c>
      <c r="X155" s="260">
        <f>$X$83</f>
        <v>43738</v>
      </c>
      <c r="Y155" s="298">
        <f>$Y$83</f>
        <v>43830</v>
      </c>
      <c r="AA155" s="313">
        <f>$AA$83</f>
        <v>42735</v>
      </c>
      <c r="AB155" s="314">
        <f>$AB$83</f>
        <v>43100</v>
      </c>
      <c r="AC155" s="176">
        <f>$AC$83</f>
        <v>43465</v>
      </c>
      <c r="AD155" s="176">
        <f>$AD$83</f>
        <v>43830</v>
      </c>
    </row>
    <row r="156" outlineLevel="1" spans="2:55">
      <c r="B156" s="177" t="s">
        <v>247</v>
      </c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AA156" s="178"/>
      <c r="AB156" s="178"/>
      <c r="AC156" s="178"/>
      <c r="AD156" s="178"/>
      <c r="AR156" s="108"/>
      <c r="AS156" s="108"/>
      <c r="AT156" s="108"/>
      <c r="AU156" s="11"/>
      <c r="AV156" s="11"/>
      <c r="AW156" s="108"/>
      <c r="AX156" s="108"/>
      <c r="AY156" s="108"/>
      <c r="AZ156" s="108"/>
      <c r="BA156" s="108"/>
      <c r="BB156" s="108"/>
      <c r="BC156" s="108"/>
    </row>
    <row r="157" outlineLevel="1" spans="2:25">
      <c r="B157" s="179"/>
      <c r="C157" s="193" t="s">
        <v>248</v>
      </c>
      <c r="D157" s="180"/>
      <c r="E157" s="180"/>
      <c r="F157" s="180"/>
      <c r="G157" s="180"/>
      <c r="H157" s="180"/>
      <c r="I157" s="180"/>
      <c r="J157" s="180"/>
      <c r="K157" s="180"/>
      <c r="L157" s="180"/>
      <c r="M157" s="606"/>
      <c r="N157" s="607"/>
      <c r="O157" s="608"/>
      <c r="P157" s="609"/>
      <c r="Q157" s="180"/>
      <c r="R157" s="180"/>
      <c r="S157" s="180"/>
      <c r="T157" s="180"/>
      <c r="U157" s="180"/>
      <c r="V157" s="180"/>
      <c r="W157" s="180"/>
      <c r="X157" s="180"/>
      <c r="Y157" s="180"/>
    </row>
    <row r="158" outlineLevel="1" spans="3:30">
      <c r="C158" s="51" t="s">
        <v>249</v>
      </c>
      <c r="D158" s="181" t="s">
        <v>48</v>
      </c>
      <c r="F158" s="211">
        <f>+'DLR-Op-Model'!F111</f>
        <v>10226.549</v>
      </c>
      <c r="G158" s="211">
        <f>+'DLR-Op-Model'!G111</f>
        <v>10223.946</v>
      </c>
      <c r="H158" s="211">
        <f>+'DLR-Op-Model'!H111</f>
        <v>10607.44</v>
      </c>
      <c r="I158" s="211">
        <f>+'DLR-Op-Model'!I111</f>
        <v>10630.514</v>
      </c>
      <c r="J158" s="211">
        <f>+'DLR-Op-Model'!J111</f>
        <v>10858.628</v>
      </c>
      <c r="K158" s="211">
        <f>+'DLR-Op-Model'!K111</f>
        <v>10992.8776363191</v>
      </c>
      <c r="L158" s="211">
        <f>+'DLR-Op-Model'!L111</f>
        <v>11135.2267207484</v>
      </c>
      <c r="M158" s="610">
        <f>+'DFT-Op-Model'!L106</f>
        <v>3174.4371420712</v>
      </c>
      <c r="N158" s="301">
        <f>+J56</f>
        <v>167.075639056379</v>
      </c>
      <c r="O158" s="263">
        <v>0</v>
      </c>
      <c r="P158" s="558">
        <f t="shared" ref="P158:P161" si="90">SUM(L158:O158)</f>
        <v>14476.739501876</v>
      </c>
      <c r="Q158" s="301">
        <f>+'DLR-Op-Model'!M111+'DFT-Op-Model'!M106+SUM($N158:$O158)</f>
        <v>14719.9124581747</v>
      </c>
      <c r="R158" s="301">
        <f>+'DLR-Op-Model'!N111+'DFT-Op-Model'!N106+SUM($N158:$O158)</f>
        <v>14971.7122685838</v>
      </c>
      <c r="S158" s="301">
        <f>+'DLR-Op-Model'!O111+'DFT-Op-Model'!O106+SUM($N158:$O158)</f>
        <v>15258.7532358301</v>
      </c>
      <c r="T158" s="301">
        <f>+'DLR-Op-Model'!P111+'DFT-Op-Model'!P106+SUM($N158:$O158)</f>
        <v>15543.4939033432</v>
      </c>
      <c r="U158" s="301">
        <f>+'DLR-Op-Model'!Q111+'DFT-Op-Model'!Q106+SUM($N158:$O158)</f>
        <v>15839.9764706261</v>
      </c>
      <c r="V158" s="301">
        <f>+'DLR-Op-Model'!R111+'DFT-Op-Model'!R106+SUM($N158:$O158)</f>
        <v>16162.6604021503</v>
      </c>
      <c r="W158" s="301">
        <f>+'DLR-Op-Model'!S111+'DFT-Op-Model'!S106+SUM($N158:$O158)</f>
        <v>16468.3662265411</v>
      </c>
      <c r="X158" s="301">
        <f>+'DLR-Op-Model'!T111+'DFT-Op-Model'!T106+SUM($N158:$O158)</f>
        <v>16781.331334158</v>
      </c>
      <c r="Y158" s="301">
        <f>+'DLR-Op-Model'!U111+'DFT-Op-Model'!U106+SUM($N158:$O158)</f>
        <v>17106.9236133917</v>
      </c>
      <c r="AA158" s="301">
        <f t="shared" ref="AA158:AD158" si="91">INDEX($F158:$Y158,1,MATCH(AA$155,$F$155:$Y$155,0))</f>
        <v>10630.514</v>
      </c>
      <c r="AB158" s="301">
        <f t="shared" si="91"/>
        <v>14719.9124581747</v>
      </c>
      <c r="AC158" s="301">
        <f t="shared" si="91"/>
        <v>15839.9764706261</v>
      </c>
      <c r="AD158" s="301">
        <f t="shared" si="91"/>
        <v>17106.9236133917</v>
      </c>
    </row>
    <row r="159" outlineLevel="1" spans="3:56">
      <c r="C159" s="51" t="s">
        <v>250</v>
      </c>
      <c r="D159" s="200" t="s">
        <v>48</v>
      </c>
      <c r="F159" s="521">
        <f>+'DLR-Op-Model'!F112</f>
        <v>876.362999999999</v>
      </c>
      <c r="G159" s="521">
        <f>+'DLR-Op-Model'!G112</f>
        <v>756.700000000001</v>
      </c>
      <c r="H159" s="521">
        <f>+'DLR-Op-Model'!H112</f>
        <v>904.424999999999</v>
      </c>
      <c r="I159" s="521">
        <f>+'DLR-Op-Model'!I112</f>
        <v>927.955</v>
      </c>
      <c r="J159" s="521">
        <f>+'DLR-Op-Model'!J112</f>
        <v>1010.377</v>
      </c>
      <c r="K159" s="521">
        <f>+'DLR-Op-Model'!K112</f>
        <v>1070.377</v>
      </c>
      <c r="L159" s="521">
        <f>+'DLR-Op-Model'!L112</f>
        <v>1120.377</v>
      </c>
      <c r="M159" s="611">
        <f>+'DFT-Op-Model'!L107</f>
        <v>621.746</v>
      </c>
      <c r="N159" s="302">
        <f>+J62</f>
        <v>124.3492</v>
      </c>
      <c r="O159" s="264">
        <v>0</v>
      </c>
      <c r="P159" s="560">
        <f t="shared" si="90"/>
        <v>1866.4722</v>
      </c>
      <c r="Q159" s="302">
        <f>+'DLR-Op-Model'!M112+'DFT-Op-Model'!M107+SUM($N159:$O159)</f>
        <v>1916.4722</v>
      </c>
      <c r="R159" s="302">
        <f>+'DLR-Op-Model'!N112+'DFT-Op-Model'!N107+SUM($N159:$O159)</f>
        <v>1981.4722</v>
      </c>
      <c r="S159" s="302">
        <f>+'DLR-Op-Model'!O112+'DFT-Op-Model'!O107+SUM($N159:$O159)</f>
        <v>1996.4722</v>
      </c>
      <c r="T159" s="302">
        <f>+'DLR-Op-Model'!P112+'DFT-Op-Model'!P107+SUM($N159:$O159)</f>
        <v>2021.4722</v>
      </c>
      <c r="U159" s="302">
        <f>+'DLR-Op-Model'!Q112+'DFT-Op-Model'!Q107+SUM($N159:$O159)</f>
        <v>2046.4722</v>
      </c>
      <c r="V159" s="302">
        <f>+'DLR-Op-Model'!R112+'DFT-Op-Model'!R107+SUM($N159:$O159)</f>
        <v>2076.4722</v>
      </c>
      <c r="W159" s="302">
        <f>+'DLR-Op-Model'!S112+'DFT-Op-Model'!S107+SUM($N159:$O159)</f>
        <v>2111.4722</v>
      </c>
      <c r="X159" s="302">
        <f>+'DLR-Op-Model'!T112+'DFT-Op-Model'!T107+SUM($N159:$O159)</f>
        <v>2136.4722</v>
      </c>
      <c r="Y159" s="302">
        <f>+'DLR-Op-Model'!U112+'DFT-Op-Model'!U107+SUM($N159:$O159)</f>
        <v>2161.4722</v>
      </c>
      <c r="AA159" s="302">
        <f t="shared" ref="AA159:AD159" si="92">INDEX($F159:$Y159,1,MATCH(AA$155,$F$155:$Y$155,0))</f>
        <v>927.955</v>
      </c>
      <c r="AB159" s="302">
        <f t="shared" si="92"/>
        <v>1916.4722</v>
      </c>
      <c r="AC159" s="302">
        <f t="shared" si="92"/>
        <v>2046.4722</v>
      </c>
      <c r="AD159" s="302">
        <f t="shared" si="92"/>
        <v>2161.4722</v>
      </c>
      <c r="AW159" s="108"/>
      <c r="AX159" s="108"/>
      <c r="AY159" s="108"/>
      <c r="AZ159" s="108"/>
      <c r="BA159" s="108"/>
      <c r="BB159" s="108"/>
      <c r="BC159" s="108"/>
      <c r="BD159" s="108"/>
    </row>
    <row r="160" outlineLevel="1" spans="3:56">
      <c r="C160" s="189" t="s">
        <v>52</v>
      </c>
      <c r="D160" s="181" t="s">
        <v>48</v>
      </c>
      <c r="E160" s="212"/>
      <c r="F160" s="317">
        <f>+'DLR-Op-Model'!F113</f>
        <v>11102.912</v>
      </c>
      <c r="G160" s="317">
        <f>+'DLR-Op-Model'!G113</f>
        <v>10980.646</v>
      </c>
      <c r="H160" s="317">
        <f>+'DLR-Op-Model'!H113</f>
        <v>11511.865</v>
      </c>
      <c r="I160" s="317">
        <f>+'DLR-Op-Model'!I113</f>
        <v>11558.469</v>
      </c>
      <c r="J160" s="317">
        <f>+'DLR-Op-Model'!J113</f>
        <v>11869.005</v>
      </c>
      <c r="K160" s="317">
        <f>+'DLR-Op-Model'!K113</f>
        <v>12063.2546363191</v>
      </c>
      <c r="L160" s="317">
        <f>+'DLR-Op-Model'!L113</f>
        <v>12255.6037207484</v>
      </c>
      <c r="M160" s="612">
        <f t="shared" ref="M160:Y160" si="93">SUM(M158:M159)</f>
        <v>3796.1831420712</v>
      </c>
      <c r="N160" s="317"/>
      <c r="O160" s="317"/>
      <c r="P160" s="613">
        <f t="shared" si="93"/>
        <v>16343.211701876</v>
      </c>
      <c r="Q160" s="317">
        <f t="shared" si="93"/>
        <v>16636.3846581747</v>
      </c>
      <c r="R160" s="317">
        <f t="shared" si="93"/>
        <v>16953.1844685838</v>
      </c>
      <c r="S160" s="317">
        <f t="shared" si="93"/>
        <v>17255.2254358301</v>
      </c>
      <c r="T160" s="317">
        <f t="shared" si="93"/>
        <v>17564.9661033432</v>
      </c>
      <c r="U160" s="317">
        <f t="shared" si="93"/>
        <v>17886.4486706261</v>
      </c>
      <c r="V160" s="317">
        <f t="shared" si="93"/>
        <v>18239.1326021503</v>
      </c>
      <c r="W160" s="317">
        <f t="shared" si="93"/>
        <v>18579.8384265411</v>
      </c>
      <c r="X160" s="317">
        <f t="shared" si="93"/>
        <v>18917.803534158</v>
      </c>
      <c r="Y160" s="317">
        <f t="shared" si="93"/>
        <v>19268.3958133917</v>
      </c>
      <c r="AA160" s="317">
        <f t="shared" ref="AA160:AD160" si="94">SUM(AA158:AA159)</f>
        <v>11558.469</v>
      </c>
      <c r="AB160" s="317">
        <f t="shared" si="94"/>
        <v>16636.3846581747</v>
      </c>
      <c r="AC160" s="317">
        <f t="shared" si="94"/>
        <v>17886.4486706261</v>
      </c>
      <c r="AD160" s="317">
        <f t="shared" si="94"/>
        <v>19268.3958133917</v>
      </c>
      <c r="AW160" s="108"/>
      <c r="AX160" s="108"/>
      <c r="AY160" s="108"/>
      <c r="AZ160" s="108"/>
      <c r="BA160" s="108"/>
      <c r="BB160" s="108"/>
      <c r="BC160" s="108"/>
      <c r="BD160" s="108"/>
    </row>
    <row r="161" outlineLevel="1" spans="3:56">
      <c r="C161" s="51" t="s">
        <v>251</v>
      </c>
      <c r="D161" s="200" t="s">
        <v>48</v>
      </c>
      <c r="F161" s="206">
        <f>+'DLR-Op-Model'!F114</f>
        <v>-2380.4</v>
      </c>
      <c r="G161" s="206">
        <f>+'DLR-Op-Model'!G114</f>
        <v>-2441.15</v>
      </c>
      <c r="H161" s="206">
        <f>+'DLR-Op-Model'!H114</f>
        <v>-2565.368</v>
      </c>
      <c r="I161" s="206">
        <f>+'DLR-Op-Model'!I114</f>
        <v>-2668.509</v>
      </c>
      <c r="J161" s="206">
        <f>+'DLR-Op-Model'!J114</f>
        <v>-2792.91</v>
      </c>
      <c r="K161" s="206">
        <f>+'DLR-Op-Model'!K114</f>
        <v>-2973.02591447354</v>
      </c>
      <c r="L161" s="206">
        <f>+'DLR-Op-Model'!L114</f>
        <v>-3161.90953185332</v>
      </c>
      <c r="M161" s="614">
        <f>+'DFT-Op-Model'!L109</f>
        <v>-747.289703637995</v>
      </c>
      <c r="N161" s="302">
        <f>-D61</f>
        <v>747.289703637995</v>
      </c>
      <c r="O161" s="264">
        <v>0</v>
      </c>
      <c r="P161" s="615">
        <f t="shared" si="90"/>
        <v>-3161.90953185332</v>
      </c>
      <c r="Q161" s="289">
        <f t="shared" ref="Q161:Y161" si="95">+P161-Q198-Q199</f>
        <v>-3374.86092848898</v>
      </c>
      <c r="R161" s="289">
        <f t="shared" si="95"/>
        <v>-3608.13894950661</v>
      </c>
      <c r="S161" s="289">
        <f t="shared" si="95"/>
        <v>-3842.92520044482</v>
      </c>
      <c r="T161" s="289">
        <f t="shared" si="95"/>
        <v>-4089.71234147186</v>
      </c>
      <c r="U161" s="289">
        <f t="shared" si="95"/>
        <v>-4328.81315679134</v>
      </c>
      <c r="V161" s="289">
        <f t="shared" si="95"/>
        <v>-4594.94373594757</v>
      </c>
      <c r="W161" s="289">
        <f t="shared" si="95"/>
        <v>-4862.05976841583</v>
      </c>
      <c r="X161" s="289">
        <f t="shared" si="95"/>
        <v>-5141.54864800209</v>
      </c>
      <c r="Y161" s="289">
        <f t="shared" si="95"/>
        <v>-5412.72617671423</v>
      </c>
      <c r="AA161" s="289">
        <f t="shared" ref="AA161:AD161" si="96">INDEX($F161:$Y161,1,MATCH(AA$155,$F$155:$Y$155,0))</f>
        <v>-2668.509</v>
      </c>
      <c r="AB161" s="289">
        <f t="shared" si="96"/>
        <v>-3374.86092848898</v>
      </c>
      <c r="AC161" s="289">
        <f t="shared" si="96"/>
        <v>-4328.81315679134</v>
      </c>
      <c r="AD161" s="289">
        <f t="shared" si="96"/>
        <v>-5412.72617671423</v>
      </c>
      <c r="AW161" s="108"/>
      <c r="AX161" s="108"/>
      <c r="AY161" s="108"/>
      <c r="AZ161" s="108"/>
      <c r="BA161" s="108"/>
      <c r="BB161" s="108"/>
      <c r="BC161" s="108"/>
      <c r="BD161" s="108"/>
    </row>
    <row r="162" outlineLevel="1" spans="3:56">
      <c r="C162" s="189" t="s">
        <v>252</v>
      </c>
      <c r="D162" s="181" t="s">
        <v>48</v>
      </c>
      <c r="E162" s="212"/>
      <c r="F162" s="318">
        <f t="shared" ref="F162:M162" si="97">SUM(F160:F161)</f>
        <v>8722.512</v>
      </c>
      <c r="G162" s="318">
        <f t="shared" si="97"/>
        <v>8539.496</v>
      </c>
      <c r="H162" s="318">
        <f t="shared" si="97"/>
        <v>8946.497</v>
      </c>
      <c r="I162" s="318">
        <f t="shared" si="97"/>
        <v>8889.96</v>
      </c>
      <c r="J162" s="318">
        <f t="shared" si="97"/>
        <v>9076.095</v>
      </c>
      <c r="K162" s="318">
        <f t="shared" si="97"/>
        <v>9090.22872184556</v>
      </c>
      <c r="L162" s="318">
        <f t="shared" si="97"/>
        <v>9093.69418889506</v>
      </c>
      <c r="M162" s="616">
        <f t="shared" si="97"/>
        <v>3048.8934384332</v>
      </c>
      <c r="N162" s="318"/>
      <c r="O162" s="318"/>
      <c r="P162" s="617">
        <f t="shared" ref="P162:Y162" si="98">SUM(P160:P161)</f>
        <v>13181.3021700226</v>
      </c>
      <c r="Q162" s="318">
        <f t="shared" si="98"/>
        <v>13261.5237296857</v>
      </c>
      <c r="R162" s="318">
        <f t="shared" si="98"/>
        <v>13345.0455190771</v>
      </c>
      <c r="S162" s="318">
        <f t="shared" si="98"/>
        <v>13412.3002353853</v>
      </c>
      <c r="T162" s="318">
        <f t="shared" si="98"/>
        <v>13475.2537618714</v>
      </c>
      <c r="U162" s="318">
        <f t="shared" si="98"/>
        <v>13557.6355138348</v>
      </c>
      <c r="V162" s="318">
        <f t="shared" si="98"/>
        <v>13644.1888662027</v>
      </c>
      <c r="W162" s="318">
        <f t="shared" si="98"/>
        <v>13717.7786581253</v>
      </c>
      <c r="X162" s="318">
        <f t="shared" si="98"/>
        <v>13776.2548861559</v>
      </c>
      <c r="Y162" s="318">
        <f t="shared" si="98"/>
        <v>13855.6696366775</v>
      </c>
      <c r="AA162" s="318">
        <f t="shared" ref="AA162:AD162" si="99">SUM(AA160:AA161)</f>
        <v>8889.96</v>
      </c>
      <c r="AB162" s="318">
        <f t="shared" si="99"/>
        <v>13261.5237296857</v>
      </c>
      <c r="AC162" s="318">
        <f t="shared" si="99"/>
        <v>13557.6355138348</v>
      </c>
      <c r="AD162" s="318">
        <f t="shared" si="99"/>
        <v>13855.6696366775</v>
      </c>
      <c r="AW162" s="108"/>
      <c r="AX162" s="108"/>
      <c r="AY162" s="108"/>
      <c r="AZ162" s="108"/>
      <c r="BA162" s="108"/>
      <c r="BB162" s="108"/>
      <c r="BC162" s="108"/>
      <c r="BD162" s="108"/>
    </row>
    <row r="163" outlineLevel="1" spans="6:56">
      <c r="F163" s="197"/>
      <c r="G163" s="197"/>
      <c r="H163" s="197"/>
      <c r="I163" s="197"/>
      <c r="J163" s="197"/>
      <c r="K163" s="197"/>
      <c r="L163" s="197"/>
      <c r="M163" s="604"/>
      <c r="N163" s="197"/>
      <c r="O163" s="197"/>
      <c r="P163" s="605"/>
      <c r="Q163" s="197"/>
      <c r="R163" s="197"/>
      <c r="S163" s="197"/>
      <c r="T163" s="197"/>
      <c r="U163" s="197"/>
      <c r="V163" s="197"/>
      <c r="W163" s="197"/>
      <c r="X163" s="197"/>
      <c r="Y163" s="197"/>
      <c r="AA163" s="197"/>
      <c r="AB163" s="197"/>
      <c r="AC163" s="197"/>
      <c r="AD163" s="197"/>
      <c r="AW163" s="108"/>
      <c r="AX163" s="108"/>
      <c r="AY163" s="108"/>
      <c r="AZ163" s="108"/>
      <c r="BA163" s="108"/>
      <c r="BB163" s="108"/>
      <c r="BC163" s="108"/>
      <c r="BD163" s="108"/>
    </row>
    <row r="164" outlineLevel="1" spans="3:56">
      <c r="C164" s="11" t="s">
        <v>253</v>
      </c>
      <c r="D164" s="181" t="s">
        <v>48</v>
      </c>
      <c r="F164" s="521">
        <f>+'DLR-Op-Model'!F117</f>
        <v>50.7329999999999</v>
      </c>
      <c r="G164" s="521">
        <f>+'DLR-Op-Model'!G117</f>
        <v>51.5379999999999</v>
      </c>
      <c r="H164" s="521">
        <f>+'DLR-Op-Model'!H117</f>
        <v>48.1299999999995</v>
      </c>
      <c r="I164" s="521">
        <f>+'DLR-Op-Model'!I117</f>
        <v>22.0359999999995</v>
      </c>
      <c r="J164" s="521">
        <f>+'DLR-Op-Model'!J117</f>
        <v>25.3969999999995</v>
      </c>
      <c r="K164" s="521">
        <f>+'DLR-Op-Model'!K117</f>
        <v>92.2511268342852</v>
      </c>
      <c r="L164" s="521">
        <f>+'DLR-Op-Model'!L117</f>
        <v>103.690110554167</v>
      </c>
      <c r="M164" s="611">
        <f>+'DFT-Op-Model'!L112</f>
        <v>22.2978613739829</v>
      </c>
      <c r="N164" s="264">
        <v>0</v>
      </c>
      <c r="O164" s="302">
        <f>-D46</f>
        <v>0</v>
      </c>
      <c r="P164" s="560">
        <f t="shared" ref="P164:P171" si="100">SUM(L164:O164)</f>
        <v>125.987971928149</v>
      </c>
      <c r="Q164" s="302">
        <f t="shared" ref="Q164:Y164" si="101">+Q230</f>
        <v>252.263378505828</v>
      </c>
      <c r="R164" s="302">
        <f t="shared" si="101"/>
        <v>121.483317144454</v>
      </c>
      <c r="S164" s="302">
        <f t="shared" si="101"/>
        <v>113.471353425678</v>
      </c>
      <c r="T164" s="302">
        <f t="shared" si="101"/>
        <v>125.331563748228</v>
      </c>
      <c r="U164" s="302">
        <f t="shared" si="101"/>
        <v>276.334235825449</v>
      </c>
      <c r="V164" s="302">
        <f t="shared" si="101"/>
        <v>141.856681989077</v>
      </c>
      <c r="W164" s="302">
        <f t="shared" si="101"/>
        <v>141.983493115193</v>
      </c>
      <c r="X164" s="302">
        <f t="shared" si="101"/>
        <v>158.597401109496</v>
      </c>
      <c r="Y164" s="302">
        <f t="shared" si="101"/>
        <v>340.202544068898</v>
      </c>
      <c r="AA164" s="302">
        <f t="shared" ref="AA164:AD164" si="102">INDEX($F164:$Y164,1,MATCH(AA$155,$F$155:$Y$155,0))</f>
        <v>22.0359999999995</v>
      </c>
      <c r="AB164" s="302">
        <f t="shared" si="102"/>
        <v>252.263378505828</v>
      </c>
      <c r="AC164" s="302">
        <f t="shared" si="102"/>
        <v>276.334235825449</v>
      </c>
      <c r="AD164" s="302">
        <f t="shared" si="102"/>
        <v>340.202544068898</v>
      </c>
      <c r="AW164" s="108"/>
      <c r="AX164" s="108"/>
      <c r="AY164" s="108"/>
      <c r="AZ164" s="108"/>
      <c r="BA164" s="108"/>
      <c r="BB164" s="108"/>
      <c r="BC164" s="108"/>
      <c r="BD164" s="108"/>
    </row>
    <row r="165" outlineLevel="1" spans="3:56">
      <c r="C165" s="11" t="s">
        <v>254</v>
      </c>
      <c r="D165" s="181" t="s">
        <v>48</v>
      </c>
      <c r="F165" s="521">
        <f>+'DLR-Op-Model'!F118</f>
        <v>180.456</v>
      </c>
      <c r="G165" s="521">
        <f>+'DLR-Op-Model'!G118</f>
        <v>165.867</v>
      </c>
      <c r="H165" s="521">
        <f>+'DLR-Op-Model'!H118</f>
        <v>208.097</v>
      </c>
      <c r="I165" s="521">
        <f>+'DLR-Op-Model'!I118</f>
        <v>203.938</v>
      </c>
      <c r="J165" s="521">
        <f>+'DLR-Op-Model'!J118</f>
        <v>195.406</v>
      </c>
      <c r="K165" s="521">
        <f>+'DLR-Op-Model'!K118</f>
        <v>170.640294427127</v>
      </c>
      <c r="L165" s="521">
        <f>+'DLR-Op-Model'!L118</f>
        <v>218.032148947708</v>
      </c>
      <c r="M165" s="618">
        <f>+'DFT-Op-Model'!L113</f>
        <v>14.066749654125</v>
      </c>
      <c r="N165" s="264">
        <v>0</v>
      </c>
      <c r="O165" s="264">
        <v>0</v>
      </c>
      <c r="P165" s="560">
        <f t="shared" si="100"/>
        <v>232.098898601833</v>
      </c>
      <c r="Q165" s="321">
        <f>+'DLR-Op-Model'!M118+'DFT-Op-Model'!M113+SUM($N165:$O165)</f>
        <v>217.933793080655</v>
      </c>
      <c r="R165" s="321">
        <f>+'DLR-Op-Model'!N118+'DFT-Op-Model'!N113+SUM($N165:$O165)</f>
        <v>228.254103417552</v>
      </c>
      <c r="S165" s="321">
        <f>+'DLR-Op-Model'!O118+'DFT-Op-Model'!O113+SUM($N165:$O165)</f>
        <v>201.529349019712</v>
      </c>
      <c r="T165" s="321">
        <f>+'DLR-Op-Model'!P118+'DFT-Op-Model'!P113+SUM($N165:$O165)</f>
        <v>259.044031581037</v>
      </c>
      <c r="U165" s="321">
        <f>+'DLR-Op-Model'!Q118+'DFT-Op-Model'!Q113+SUM($N165:$O165)</f>
        <v>243.344285625301</v>
      </c>
      <c r="V165" s="321">
        <f>+'DLR-Op-Model'!R118+'DFT-Op-Model'!R113+SUM($N165:$O165)</f>
        <v>259.506186349984</v>
      </c>
      <c r="W165" s="321">
        <f>+'DLR-Op-Model'!S118+'DFT-Op-Model'!S113+SUM($N165:$O165)</f>
        <v>228.332812156454</v>
      </c>
      <c r="X165" s="321">
        <f>+'DLR-Op-Model'!T118+'DFT-Op-Model'!T113+SUM($N165:$O165)</f>
        <v>292.236679211297</v>
      </c>
      <c r="Y165" s="321">
        <f>+'DLR-Op-Model'!U118+'DFT-Op-Model'!U113+SUM($N165:$O165)</f>
        <v>274.882536431937</v>
      </c>
      <c r="AA165" s="321">
        <f t="shared" ref="AA165:AD165" si="103">INDEX($F165:$Y165,1,MATCH(AA$155,$F$155:$Y$155,0))</f>
        <v>203.938</v>
      </c>
      <c r="AB165" s="321">
        <f t="shared" si="103"/>
        <v>217.933793080655</v>
      </c>
      <c r="AC165" s="321">
        <f t="shared" si="103"/>
        <v>243.344285625301</v>
      </c>
      <c r="AD165" s="321">
        <f t="shared" si="103"/>
        <v>274.882536431937</v>
      </c>
      <c r="AW165" s="108"/>
      <c r="AX165" s="108"/>
      <c r="AY165" s="108"/>
      <c r="AZ165" s="108"/>
      <c r="BA165" s="108"/>
      <c r="BB165" s="108"/>
      <c r="BC165" s="108"/>
      <c r="BD165" s="108"/>
    </row>
    <row r="166" outlineLevel="1" spans="3:56">
      <c r="C166" s="11" t="s">
        <v>255</v>
      </c>
      <c r="D166" s="181" t="s">
        <v>48</v>
      </c>
      <c r="F166" s="521">
        <f>+'DLR-Op-Model'!F119</f>
        <v>412.579</v>
      </c>
      <c r="G166" s="521">
        <f>+'DLR-Op-Model'!G119</f>
        <v>408.193</v>
      </c>
      <c r="H166" s="521">
        <f>+'DLR-Op-Model'!H119</f>
        <v>412.977</v>
      </c>
      <c r="I166" s="521">
        <f>+'DLR-Op-Model'!I119</f>
        <v>412.269</v>
      </c>
      <c r="J166" s="521">
        <f>+'DLR-Op-Model'!J119</f>
        <v>418.858</v>
      </c>
      <c r="K166" s="521">
        <f>+'DLR-Op-Model'!K119</f>
        <v>420.75027783875</v>
      </c>
      <c r="L166" s="521">
        <f>+'DLR-Op-Model'!L119</f>
        <v>420.329000601886</v>
      </c>
      <c r="M166" s="618">
        <f>+'DFT-Op-Model'!L114</f>
        <v>122.46749130385</v>
      </c>
      <c r="N166" s="264">
        <v>0</v>
      </c>
      <c r="O166" s="302">
        <f>-D62</f>
        <v>-122.46749130385</v>
      </c>
      <c r="P166" s="560">
        <f t="shared" si="100"/>
        <v>420.329000601886</v>
      </c>
      <c r="Q166" s="321">
        <f t="shared" ref="Q166:Y166" si="104">+P166-Q201-Q202</f>
        <v>419.937058272966</v>
      </c>
      <c r="R166" s="321">
        <f t="shared" si="104"/>
        <v>420.057875324913</v>
      </c>
      <c r="S166" s="321">
        <f t="shared" si="104"/>
        <v>419.920122359654</v>
      </c>
      <c r="T166" s="321">
        <f t="shared" si="104"/>
        <v>422.192281671612</v>
      </c>
      <c r="U166" s="321">
        <f t="shared" si="104"/>
        <v>421.71862012736</v>
      </c>
      <c r="V166" s="321">
        <f t="shared" si="104"/>
        <v>421.248905263769</v>
      </c>
      <c r="W166" s="321">
        <f t="shared" si="104"/>
        <v>421.380119480222</v>
      </c>
      <c r="X166" s="321">
        <f t="shared" si="104"/>
        <v>421.212569395463</v>
      </c>
      <c r="Y166" s="321">
        <f t="shared" si="104"/>
        <v>423.801308891477</v>
      </c>
      <c r="AA166" s="321">
        <f t="shared" ref="AA166:AD166" si="105">INDEX($F166:$Y166,1,MATCH(AA$155,$F$155:$Y$155,0))</f>
        <v>412.269</v>
      </c>
      <c r="AB166" s="321">
        <f t="shared" si="105"/>
        <v>419.937058272966</v>
      </c>
      <c r="AC166" s="321">
        <f t="shared" si="105"/>
        <v>421.71862012736</v>
      </c>
      <c r="AD166" s="321">
        <f t="shared" si="105"/>
        <v>423.801308891477</v>
      </c>
      <c r="AW166" s="108"/>
      <c r="AX166" s="108"/>
      <c r="AY166" s="108"/>
      <c r="AZ166" s="108"/>
      <c r="BA166" s="108"/>
      <c r="BB166" s="108"/>
      <c r="BC166" s="108"/>
      <c r="BD166" s="108"/>
    </row>
    <row r="167" outlineLevel="1" spans="3:56">
      <c r="C167" s="11" t="s">
        <v>256</v>
      </c>
      <c r="D167" s="181" t="s">
        <v>48</v>
      </c>
      <c r="F167" s="521">
        <f>+'DLR-Op-Model'!F120</f>
        <v>330.664</v>
      </c>
      <c r="G167" s="521">
        <f>+'DLR-Op-Model'!G120</f>
        <v>330.664</v>
      </c>
      <c r="H167" s="521">
        <f>+'DLR-Op-Model'!H120</f>
        <v>780.099</v>
      </c>
      <c r="I167" s="521">
        <f>+'DLR-Op-Model'!I120</f>
        <v>752.97</v>
      </c>
      <c r="J167" s="521">
        <f>+'DLR-Op-Model'!J120</f>
        <v>757.444</v>
      </c>
      <c r="K167" s="521">
        <f>+'DLR-Op-Model'!K120</f>
        <v>757.444</v>
      </c>
      <c r="L167" s="521">
        <f>+'DLR-Op-Model'!L120</f>
        <v>757.444</v>
      </c>
      <c r="M167" s="611">
        <f>+'DFT-Op-Model'!L115</f>
        <v>0</v>
      </c>
      <c r="N167" s="302">
        <f>+D66</f>
        <v>2582.5475977463</v>
      </c>
      <c r="O167" s="302">
        <f>-D56</f>
        <v>0</v>
      </c>
      <c r="P167" s="560">
        <f t="shared" si="100"/>
        <v>3339.9915977463</v>
      </c>
      <c r="Q167" s="302">
        <f t="shared" ref="Q167:Y167" si="106">+P167-Q207</f>
        <v>3339.9915977463</v>
      </c>
      <c r="R167" s="302">
        <f t="shared" si="106"/>
        <v>3339.9915977463</v>
      </c>
      <c r="S167" s="302">
        <f t="shared" si="106"/>
        <v>3339.9915977463</v>
      </c>
      <c r="T167" s="302">
        <f t="shared" si="106"/>
        <v>3339.9915977463</v>
      </c>
      <c r="U167" s="302">
        <f t="shared" si="106"/>
        <v>3339.9915977463</v>
      </c>
      <c r="V167" s="302">
        <f t="shared" si="106"/>
        <v>3339.9915977463</v>
      </c>
      <c r="W167" s="302">
        <f t="shared" si="106"/>
        <v>3339.9915977463</v>
      </c>
      <c r="X167" s="302">
        <f t="shared" si="106"/>
        <v>3339.9915977463</v>
      </c>
      <c r="Y167" s="302">
        <f t="shared" si="106"/>
        <v>3339.9915977463</v>
      </c>
      <c r="AA167" s="302">
        <f t="shared" ref="AA167:AD167" si="107">INDEX($F167:$Y167,1,MATCH(AA$155,$F$155:$Y$155,0))</f>
        <v>752.97</v>
      </c>
      <c r="AB167" s="302">
        <f t="shared" si="107"/>
        <v>3339.9915977463</v>
      </c>
      <c r="AC167" s="302">
        <f t="shared" si="107"/>
        <v>3339.9915977463</v>
      </c>
      <c r="AD167" s="302">
        <f t="shared" si="107"/>
        <v>3339.9915977463</v>
      </c>
      <c r="AW167" s="108"/>
      <c r="AX167" s="108"/>
      <c r="AY167" s="108"/>
      <c r="AZ167" s="108"/>
      <c r="BA167" s="108"/>
      <c r="BB167" s="108"/>
      <c r="BC167" s="108"/>
      <c r="BD167" s="108"/>
    </row>
    <row r="168" outlineLevel="1" spans="3:56">
      <c r="C168" s="11" t="s">
        <v>257</v>
      </c>
      <c r="D168" s="181" t="s">
        <v>48</v>
      </c>
      <c r="F168" s="521">
        <f>+'DLR-Op-Model'!F121</f>
        <v>106.008</v>
      </c>
      <c r="G168" s="521">
        <f>+'DLR-Op-Model'!G121</f>
        <v>105.673</v>
      </c>
      <c r="H168" s="521">
        <f>+'DLR-Op-Model'!H121</f>
        <v>105.82</v>
      </c>
      <c r="I168" s="521">
        <f>+'DLR-Op-Model'!I121</f>
        <v>106.402</v>
      </c>
      <c r="J168" s="521">
        <f>+'DLR-Op-Model'!J121</f>
        <v>112.856</v>
      </c>
      <c r="K168" s="521">
        <f>+'DLR-Op-Model'!K121</f>
        <v>113.59976</v>
      </c>
      <c r="L168" s="521">
        <f>+'DLR-Op-Model'!L121</f>
        <v>113.8385</v>
      </c>
      <c r="M168" s="619">
        <v>0</v>
      </c>
      <c r="N168" s="264">
        <v>0</v>
      </c>
      <c r="O168" s="264">
        <v>0</v>
      </c>
      <c r="P168" s="560">
        <f t="shared" si="100"/>
        <v>113.8385</v>
      </c>
      <c r="Q168" s="289">
        <f t="shared" ref="Q168:Y168" si="108">+P168-Q196-Q197</f>
        <v>114.36012</v>
      </c>
      <c r="R168" s="289">
        <f t="shared" si="108"/>
        <v>115.47816</v>
      </c>
      <c r="S168" s="289">
        <f t="shared" si="108"/>
        <v>116.259108</v>
      </c>
      <c r="T168" s="289">
        <f t="shared" si="108"/>
        <v>116.509785</v>
      </c>
      <c r="U168" s="289">
        <f t="shared" si="108"/>
        <v>117.057486</v>
      </c>
      <c r="V168" s="289">
        <f t="shared" si="108"/>
        <v>118.231428</v>
      </c>
      <c r="W168" s="289">
        <f t="shared" si="108"/>
        <v>119.0514234</v>
      </c>
      <c r="X168" s="289">
        <f t="shared" si="108"/>
        <v>119.31463425</v>
      </c>
      <c r="Y168" s="289">
        <f t="shared" si="108"/>
        <v>119.8897203</v>
      </c>
      <c r="AA168" s="289">
        <f t="shared" ref="AA168:AD168" si="109">INDEX($F168:$Y168,1,MATCH(AA$155,$F$155:$Y$155,0))</f>
        <v>106.402</v>
      </c>
      <c r="AB168" s="289">
        <f t="shared" si="109"/>
        <v>114.36012</v>
      </c>
      <c r="AC168" s="289">
        <f t="shared" si="109"/>
        <v>117.057486</v>
      </c>
      <c r="AD168" s="289">
        <f t="shared" si="109"/>
        <v>119.8897203</v>
      </c>
      <c r="AW168" s="108"/>
      <c r="AX168" s="108"/>
      <c r="AY168" s="108"/>
      <c r="AZ168" s="108"/>
      <c r="BA168" s="108"/>
      <c r="BB168" s="108"/>
      <c r="BC168" s="108"/>
      <c r="BD168" s="108"/>
    </row>
    <row r="169" outlineLevel="1" spans="3:56">
      <c r="C169" s="11" t="s">
        <v>258</v>
      </c>
      <c r="D169" s="181" t="s">
        <v>48</v>
      </c>
      <c r="F169" s="521">
        <f>+'DLR-Op-Model'!F122</f>
        <v>1301.972</v>
      </c>
      <c r="G169" s="521">
        <f>+'DLR-Op-Model'!G122</f>
        <v>1267.237</v>
      </c>
      <c r="H169" s="521">
        <f>+'DLR-Op-Model'!H122</f>
        <v>1464.229</v>
      </c>
      <c r="I169" s="521">
        <f>+'DLR-Op-Model'!I122</f>
        <v>1462.66</v>
      </c>
      <c r="J169" s="521">
        <f>+'DLR-Op-Model'!J122</f>
        <v>1444.028</v>
      </c>
      <c r="K169" s="521">
        <f>+'DLR-Op-Model'!K122</f>
        <v>1446.025</v>
      </c>
      <c r="L169" s="521">
        <f>+'DLR-Op-Model'!L122</f>
        <v>1448.027</v>
      </c>
      <c r="M169" s="614">
        <f>+'DFT-Op-Model'!L116</f>
        <v>4.997</v>
      </c>
      <c r="N169" s="302">
        <f>-D63</f>
        <v>161.248537458</v>
      </c>
      <c r="O169" s="302">
        <f>-D64</f>
        <v>-184.284042809143</v>
      </c>
      <c r="P169" s="560">
        <f t="shared" si="100"/>
        <v>1429.98849464886</v>
      </c>
      <c r="Q169" s="289">
        <f t="shared" ref="Q169:Y169" si="110">+P169-Q203-Q204-Q205</f>
        <v>1425.88871194959</v>
      </c>
      <c r="R169" s="289">
        <f t="shared" si="110"/>
        <v>1421.89392925032</v>
      </c>
      <c r="S169" s="289">
        <f t="shared" si="110"/>
        <v>1417.75814655105</v>
      </c>
      <c r="T169" s="289">
        <f t="shared" si="110"/>
        <v>1413.61936385179</v>
      </c>
      <c r="U169" s="289">
        <f t="shared" si="110"/>
        <v>1409.51958115252</v>
      </c>
      <c r="V169" s="289">
        <f t="shared" si="110"/>
        <v>1405.52479845325</v>
      </c>
      <c r="W169" s="289">
        <f t="shared" si="110"/>
        <v>1401.38901575398</v>
      </c>
      <c r="X169" s="289">
        <f t="shared" si="110"/>
        <v>1397.25023305471</v>
      </c>
      <c r="Y169" s="289">
        <f t="shared" si="110"/>
        <v>1393.15045035545</v>
      </c>
      <c r="AA169" s="289">
        <f t="shared" ref="AA169:AD169" si="111">INDEX($F169:$Y169,1,MATCH(AA$155,$F$155:$Y$155,0))</f>
        <v>1462.66</v>
      </c>
      <c r="AB169" s="289">
        <f t="shared" si="111"/>
        <v>1425.88871194959</v>
      </c>
      <c r="AC169" s="289">
        <f t="shared" si="111"/>
        <v>1409.51958115252</v>
      </c>
      <c r="AD169" s="289">
        <f t="shared" si="111"/>
        <v>1393.15045035545</v>
      </c>
      <c r="AW169" s="108"/>
      <c r="AX169" s="108"/>
      <c r="AY169" s="108"/>
      <c r="AZ169" s="108"/>
      <c r="BA169" s="108"/>
      <c r="BB169" s="108"/>
      <c r="BC169" s="108"/>
      <c r="BD169" s="108"/>
    </row>
    <row r="170" outlineLevel="1" spans="3:56">
      <c r="C170" s="546" t="s">
        <v>259</v>
      </c>
      <c r="D170" s="545" t="s">
        <v>48</v>
      </c>
      <c r="E170" s="546"/>
      <c r="F170" s="597"/>
      <c r="G170" s="597"/>
      <c r="H170" s="597"/>
      <c r="I170" s="597"/>
      <c r="J170" s="597"/>
      <c r="K170" s="597"/>
      <c r="L170" s="597"/>
      <c r="M170" s="620"/>
      <c r="N170" s="621">
        <f>-D65</f>
        <v>1589.86470434269</v>
      </c>
      <c r="O170" s="597">
        <v>0</v>
      </c>
      <c r="P170" s="622">
        <f t="shared" si="100"/>
        <v>1589.86470434269</v>
      </c>
      <c r="Q170" s="639">
        <f t="shared" ref="Q170:Y170" si="112">+P170-Q206</f>
        <v>1561.47426319371</v>
      </c>
      <c r="R170" s="639">
        <f t="shared" si="112"/>
        <v>1533.08382204474</v>
      </c>
      <c r="S170" s="639">
        <f t="shared" si="112"/>
        <v>1504.69338089576</v>
      </c>
      <c r="T170" s="639">
        <f t="shared" si="112"/>
        <v>1476.30293974679</v>
      </c>
      <c r="U170" s="639">
        <f t="shared" si="112"/>
        <v>1447.91249859781</v>
      </c>
      <c r="V170" s="639">
        <f t="shared" si="112"/>
        <v>1419.52205744883</v>
      </c>
      <c r="W170" s="639">
        <f t="shared" si="112"/>
        <v>1391.13161629986</v>
      </c>
      <c r="X170" s="639">
        <f t="shared" si="112"/>
        <v>1362.74117515088</v>
      </c>
      <c r="Y170" s="639">
        <f t="shared" si="112"/>
        <v>1334.3507340019</v>
      </c>
      <c r="AA170" s="639">
        <f t="shared" ref="AA170:AD170" si="113">INDEX($F170:$Y170,1,MATCH(AA$155,$F$155:$Y$155,0))</f>
        <v>0</v>
      </c>
      <c r="AB170" s="639">
        <f t="shared" si="113"/>
        <v>1561.47426319371</v>
      </c>
      <c r="AC170" s="639">
        <f t="shared" si="113"/>
        <v>1447.91249859781</v>
      </c>
      <c r="AD170" s="639">
        <f t="shared" si="113"/>
        <v>1334.3507340019</v>
      </c>
      <c r="AW170" s="108"/>
      <c r="AX170" s="108"/>
      <c r="AY170" s="108"/>
      <c r="AZ170" s="108"/>
      <c r="BA170" s="108"/>
      <c r="BB170" s="108"/>
      <c r="BC170" s="108"/>
      <c r="BD170" s="108"/>
    </row>
    <row r="171" outlineLevel="1" spans="3:56">
      <c r="C171" s="11" t="s">
        <v>260</v>
      </c>
      <c r="D171" s="181" t="s">
        <v>48</v>
      </c>
      <c r="F171" s="521">
        <f>+'DLR-Op-Model'!F123</f>
        <v>220.576</v>
      </c>
      <c r="G171" s="521">
        <f>+'DLR-Op-Model'!G123</f>
        <v>332.884</v>
      </c>
      <c r="H171" s="521">
        <f>+'DLR-Op-Model'!H123</f>
        <v>246.299</v>
      </c>
      <c r="I171" s="521">
        <f>+'DLR-Op-Model'!I123</f>
        <v>260.451</v>
      </c>
      <c r="J171" s="521">
        <f>+'DLR-Op-Model'!J123</f>
        <v>220.823</v>
      </c>
      <c r="K171" s="521">
        <f>+'DLR-Op-Model'!K123</f>
        <v>243.68623722891</v>
      </c>
      <c r="L171" s="521">
        <f>+'DLR-Op-Model'!L123</f>
        <v>258.713318350484</v>
      </c>
      <c r="M171" s="614">
        <f>+'DFT-Op-Model'!L117</f>
        <v>74.6176930376844</v>
      </c>
      <c r="N171" s="264">
        <v>0</v>
      </c>
      <c r="O171" s="264">
        <v>0</v>
      </c>
      <c r="P171" s="560">
        <f t="shared" si="100"/>
        <v>333.331011388169</v>
      </c>
      <c r="Q171" s="321">
        <f>+'DLR-Op-Model'!M123+'DFT-Op-Model'!M117+SUM($N171:$O171)</f>
        <v>339.03546811191</v>
      </c>
      <c r="R171" s="321">
        <f>+'DLR-Op-Model'!N123+'DFT-Op-Model'!N117+SUM($N171:$O171)</f>
        <v>352.228438948747</v>
      </c>
      <c r="S171" s="321">
        <f>+'DLR-Op-Model'!O123+'DFT-Op-Model'!O117+SUM($N171:$O171)</f>
        <v>349.924998434416</v>
      </c>
      <c r="T171" s="321">
        <f>+'DLR-Op-Model'!P123+'DFT-Op-Model'!P117+SUM($N171:$O171)</f>
        <v>376.296858603948</v>
      </c>
      <c r="U171" s="321">
        <f>+'DLR-Op-Model'!Q123+'DFT-Op-Model'!Q117+SUM($N171:$O171)</f>
        <v>382.762763073771</v>
      </c>
      <c r="V171" s="321">
        <f>+'DLR-Op-Model'!R123+'DFT-Op-Model'!R117+SUM($N171:$O171)</f>
        <v>403.617826096856</v>
      </c>
      <c r="W171" s="321">
        <f>+'DLR-Op-Model'!S123+'DFT-Op-Model'!S117+SUM($N171:$O171)</f>
        <v>400.15097306686</v>
      </c>
      <c r="X171" s="321">
        <f>+'DLR-Op-Model'!T123+'DFT-Op-Model'!T117+SUM($N171:$O171)</f>
        <v>428.450420812051</v>
      </c>
      <c r="Y171" s="321">
        <f>+'DLR-Op-Model'!U123+'DFT-Op-Model'!U117+SUM($N171:$O171)</f>
        <v>435.93500435898</v>
      </c>
      <c r="AA171" s="321">
        <f t="shared" ref="AA171:AD171" si="114">INDEX($F171:$Y171,1,MATCH(AA$155,$F$155:$Y$155,0))</f>
        <v>260.451</v>
      </c>
      <c r="AB171" s="321">
        <f t="shared" si="114"/>
        <v>339.03546811191</v>
      </c>
      <c r="AC171" s="321">
        <f t="shared" si="114"/>
        <v>382.762763073771</v>
      </c>
      <c r="AD171" s="321">
        <f t="shared" si="114"/>
        <v>435.93500435898</v>
      </c>
      <c r="AW171" s="108"/>
      <c r="AX171" s="108"/>
      <c r="AY171" s="108"/>
      <c r="AZ171" s="108"/>
      <c r="BA171" s="108"/>
      <c r="BB171" s="108"/>
      <c r="BC171" s="108"/>
      <c r="BD171" s="108"/>
    </row>
    <row r="172" outlineLevel="1" spans="13:55">
      <c r="M172" s="576"/>
      <c r="P172" s="577"/>
      <c r="AR172" s="108"/>
      <c r="AS172" s="108"/>
      <c r="AT172" s="108"/>
      <c r="AU172" s="11"/>
      <c r="AV172" s="108"/>
      <c r="AW172" s="108"/>
      <c r="AX172" s="108"/>
      <c r="AY172" s="108"/>
      <c r="AZ172" s="108"/>
      <c r="BA172" s="108"/>
      <c r="BB172" s="108"/>
      <c r="BC172" s="108"/>
    </row>
    <row r="173" outlineLevel="1" spans="3:55">
      <c r="C173" s="193" t="s">
        <v>261</v>
      </c>
      <c r="D173" s="181" t="s">
        <v>48</v>
      </c>
      <c r="F173" s="209">
        <f t="shared" ref="F173:M173" si="115">+F162+SUM(F164:F171)</f>
        <v>11325.5</v>
      </c>
      <c r="G173" s="209">
        <f t="shared" si="115"/>
        <v>11201.552</v>
      </c>
      <c r="H173" s="209">
        <f t="shared" si="115"/>
        <v>12212.148</v>
      </c>
      <c r="I173" s="209">
        <f t="shared" si="115"/>
        <v>12110.686</v>
      </c>
      <c r="J173" s="209">
        <f t="shared" si="115"/>
        <v>12250.907</v>
      </c>
      <c r="K173" s="209">
        <f t="shared" si="115"/>
        <v>12334.6254181746</v>
      </c>
      <c r="L173" s="209">
        <f t="shared" si="115"/>
        <v>12413.7682673493</v>
      </c>
      <c r="M173" s="623">
        <f t="shared" si="115"/>
        <v>3287.34023380285</v>
      </c>
      <c r="N173" s="209"/>
      <c r="O173" s="209"/>
      <c r="P173" s="624">
        <f t="shared" ref="P173:Y173" si="116">+P162+SUM(P164:P171)</f>
        <v>20766.7323492805</v>
      </c>
      <c r="Q173" s="209">
        <f t="shared" si="116"/>
        <v>20932.4081205467</v>
      </c>
      <c r="R173" s="209">
        <f t="shared" si="116"/>
        <v>20877.5167629542</v>
      </c>
      <c r="S173" s="209">
        <f t="shared" si="116"/>
        <v>20875.8482918179</v>
      </c>
      <c r="T173" s="209">
        <f t="shared" si="116"/>
        <v>21004.5421838211</v>
      </c>
      <c r="U173" s="209">
        <f t="shared" si="116"/>
        <v>21196.2765819833</v>
      </c>
      <c r="V173" s="209">
        <f t="shared" si="116"/>
        <v>21153.6883475508</v>
      </c>
      <c r="W173" s="209">
        <f t="shared" si="116"/>
        <v>21161.1897091441</v>
      </c>
      <c r="X173" s="209">
        <f t="shared" si="116"/>
        <v>21296.0495968861</v>
      </c>
      <c r="Y173" s="209">
        <f t="shared" si="116"/>
        <v>21517.8735328324</v>
      </c>
      <c r="AA173" s="209">
        <f t="shared" ref="AA173:AD173" si="117">+AA162+SUM(AA164:AA171)</f>
        <v>12110.686</v>
      </c>
      <c r="AB173" s="209">
        <f t="shared" si="117"/>
        <v>20932.4081205467</v>
      </c>
      <c r="AC173" s="209">
        <f t="shared" si="117"/>
        <v>21196.2765819833</v>
      </c>
      <c r="AD173" s="209">
        <f t="shared" si="117"/>
        <v>21517.8735328324</v>
      </c>
      <c r="AV173" s="108"/>
      <c r="AW173" s="108"/>
      <c r="AX173" s="108"/>
      <c r="AY173" s="108"/>
      <c r="AZ173" s="108"/>
      <c r="BA173" s="108"/>
      <c r="BB173" s="108"/>
      <c r="BC173" s="108"/>
    </row>
    <row r="174" outlineLevel="1" spans="13:55">
      <c r="M174" s="576"/>
      <c r="P174" s="577"/>
      <c r="AV174" s="108"/>
      <c r="AW174" s="108"/>
      <c r="AX174" s="108"/>
      <c r="AY174" s="108"/>
      <c r="AZ174" s="108"/>
      <c r="BA174" s="108"/>
      <c r="BB174" s="108"/>
      <c r="BC174" s="108"/>
    </row>
    <row r="175" outlineLevel="1" spans="2:55">
      <c r="B175" s="177" t="s">
        <v>262</v>
      </c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625"/>
      <c r="N175" s="178"/>
      <c r="O175" s="178"/>
      <c r="P175" s="626"/>
      <c r="Q175" s="178"/>
      <c r="R175" s="178"/>
      <c r="S175" s="178"/>
      <c r="T175" s="178"/>
      <c r="U175" s="178"/>
      <c r="V175" s="178"/>
      <c r="W175" s="178"/>
      <c r="X175" s="178"/>
      <c r="Y175" s="178"/>
      <c r="AA175" s="178"/>
      <c r="AB175" s="178"/>
      <c r="AC175" s="178"/>
      <c r="AD175" s="178"/>
      <c r="AV175" s="108"/>
      <c r="AW175" s="108"/>
      <c r="AX175" s="108"/>
      <c r="AY175" s="108"/>
      <c r="AZ175" s="108"/>
      <c r="BA175" s="108"/>
      <c r="BB175" s="108"/>
      <c r="BC175" s="108"/>
    </row>
    <row r="176" outlineLevel="1" spans="3:55">
      <c r="C176" s="51" t="s">
        <v>263</v>
      </c>
      <c r="D176" s="181" t="s">
        <v>48</v>
      </c>
      <c r="F176" s="211">
        <f>+'DLR-Op-Model'!F128</f>
        <v>6156.73</v>
      </c>
      <c r="G176" s="211">
        <f>+'DLR-Op-Model'!G128</f>
        <v>6135.406</v>
      </c>
      <c r="H176" s="211">
        <f>+'DLR-Op-Model'!H128</f>
        <v>6024.987</v>
      </c>
      <c r="I176" s="211">
        <f>+'DLR-Op-Model'!I128</f>
        <v>5838.607</v>
      </c>
      <c r="J176" s="211">
        <f>+'DLR-Op-Model'!J128</f>
        <v>6201.329</v>
      </c>
      <c r="K176" s="211">
        <f>+'DLR-Op-Model'!K128</f>
        <v>6417.65690008162</v>
      </c>
      <c r="L176" s="211">
        <f>+'DLR-Op-Model'!L128</f>
        <v>6500.39894922046</v>
      </c>
      <c r="M176" s="610">
        <f>+'DFT-Op-Model'!L122</f>
        <v>1523.45648217653</v>
      </c>
      <c r="N176" s="301">
        <f>-M43-K17</f>
        <v>-1569.16017664182</v>
      </c>
      <c r="O176" s="301">
        <f>+Refi_Debt+New_Debt</f>
        <v>1695.2434382959</v>
      </c>
      <c r="P176" s="558">
        <f t="shared" ref="P176:P178" si="118">SUM(L176:O176)</f>
        <v>8149.93869305106</v>
      </c>
      <c r="Q176" s="301">
        <f t="shared" ref="Q176:Y176" si="119">+P176+Q221</f>
        <v>8185.58681709108</v>
      </c>
      <c r="R176" s="301">
        <f t="shared" si="119"/>
        <v>8401.95087926425</v>
      </c>
      <c r="S176" s="301">
        <f t="shared" si="119"/>
        <v>8622.15529784374</v>
      </c>
      <c r="T176" s="301">
        <f t="shared" si="119"/>
        <v>8779.72709472371</v>
      </c>
      <c r="U176" s="301">
        <f t="shared" si="119"/>
        <v>8808.86519302243</v>
      </c>
      <c r="V176" s="301">
        <f t="shared" si="119"/>
        <v>9030.43222061019</v>
      </c>
      <c r="W176" s="301">
        <f t="shared" si="119"/>
        <v>9277.12144644011</v>
      </c>
      <c r="X176" s="301">
        <f t="shared" si="119"/>
        <v>9443.30304598322</v>
      </c>
      <c r="Y176" s="301">
        <f t="shared" si="119"/>
        <v>9471.12466496942</v>
      </c>
      <c r="AA176" s="301">
        <f t="shared" ref="AA176:AD176" si="120">INDEX($F176:$Y176,1,MATCH(AA$155,$F$155:$Y$155,0))</f>
        <v>5838.607</v>
      </c>
      <c r="AB176" s="301">
        <f t="shared" si="120"/>
        <v>8185.58681709108</v>
      </c>
      <c r="AC176" s="301">
        <f t="shared" si="120"/>
        <v>8808.86519302243</v>
      </c>
      <c r="AD176" s="301">
        <f t="shared" si="120"/>
        <v>9471.12466496942</v>
      </c>
      <c r="AV176" s="108"/>
      <c r="AW176" s="108"/>
      <c r="AX176" s="108"/>
      <c r="AY176" s="108"/>
      <c r="AZ176" s="108"/>
      <c r="BA176" s="108"/>
      <c r="BB176" s="108"/>
      <c r="BC176" s="108"/>
    </row>
    <row r="177" outlineLevel="1" spans="3:55">
      <c r="C177" s="51" t="s">
        <v>264</v>
      </c>
      <c r="D177" s="181" t="s">
        <v>48</v>
      </c>
      <c r="F177" s="521">
        <f>+'DLR-Op-Model'!F129</f>
        <v>570.652</v>
      </c>
      <c r="G177" s="521">
        <f>+'DLR-Op-Model'!G129</f>
        <v>598.61</v>
      </c>
      <c r="H177" s="521">
        <f>+'DLR-Op-Model'!H129</f>
        <v>823.906</v>
      </c>
      <c r="I177" s="521">
        <f>+'DLR-Op-Model'!I129</f>
        <v>969.072</v>
      </c>
      <c r="J177" s="521">
        <f>+'DLR-Op-Model'!J129</f>
        <v>804.371</v>
      </c>
      <c r="K177" s="627">
        <f>+'DLR-Op-Model'!K129</f>
        <v>784.134578091424</v>
      </c>
      <c r="L177" s="627">
        <f>+'DLR-Op-Model'!L129</f>
        <v>860.627917599582</v>
      </c>
      <c r="M177" s="618">
        <f>+'DFT-Op-Model'!L123</f>
        <v>40.979263800195</v>
      </c>
      <c r="N177" s="264">
        <v>0</v>
      </c>
      <c r="O177" s="264">
        <v>0</v>
      </c>
      <c r="P177" s="628">
        <f t="shared" si="118"/>
        <v>901.607181399777</v>
      </c>
      <c r="Q177" s="321">
        <f>+'DLR-Op-Model'!M129+'DFT-Op-Model'!M123+SUM($N177:$O177)</f>
        <v>987.43938636066</v>
      </c>
      <c r="R177" s="321">
        <f>+'DLR-Op-Model'!N129+'DFT-Op-Model'!N123+SUM($N177:$O177)</f>
        <v>954.926768798873</v>
      </c>
      <c r="S177" s="321">
        <f>+'DLR-Op-Model'!O129+'DFT-Op-Model'!O123+SUM($N177:$O177)</f>
        <v>924.866922053661</v>
      </c>
      <c r="T177" s="321">
        <f>+'DLR-Op-Model'!P129+'DFT-Op-Model'!P123+SUM($N177:$O177)</f>
        <v>1005.97132483787</v>
      </c>
      <c r="U177" s="321">
        <f>+'DLR-Op-Model'!Q129+'DFT-Op-Model'!Q123+SUM($N177:$O177)</f>
        <v>1103.94699286019</v>
      </c>
      <c r="V177" s="321">
        <f>+'DLR-Op-Model'!R129+'DFT-Op-Model'!R123+SUM($N177:$O177)</f>
        <v>1092.4626133013</v>
      </c>
      <c r="W177" s="321">
        <f>+'DLR-Op-Model'!S129+'DFT-Op-Model'!S123+SUM($N177:$O177)</f>
        <v>1055.27320570403</v>
      </c>
      <c r="X177" s="321">
        <f>+'DLR-Op-Model'!T129+'DFT-Op-Model'!T123+SUM($N177:$O177)</f>
        <v>1140.64069786831</v>
      </c>
      <c r="Y177" s="321">
        <f>+'DLR-Op-Model'!U129+'DFT-Op-Model'!U123+SUM($N177:$O177)</f>
        <v>1252.44735589894</v>
      </c>
      <c r="AA177" s="321">
        <f t="shared" ref="AA177:AD177" si="121">INDEX($F177:$Y177,1,MATCH(AA$155,$F$155:$Y$155,0))</f>
        <v>969.072</v>
      </c>
      <c r="AB177" s="321">
        <f t="shared" si="121"/>
        <v>987.43938636066</v>
      </c>
      <c r="AC177" s="321">
        <f t="shared" si="121"/>
        <v>1103.94699286019</v>
      </c>
      <c r="AD177" s="321">
        <f t="shared" si="121"/>
        <v>1252.44735589894</v>
      </c>
      <c r="AV177" s="108"/>
      <c r="AW177" s="108"/>
      <c r="AX177" s="108"/>
      <c r="AY177" s="108"/>
      <c r="AZ177" s="108"/>
      <c r="BA177" s="108"/>
      <c r="BB177" s="108"/>
      <c r="BC177" s="108"/>
    </row>
    <row r="178" outlineLevel="1" spans="3:55">
      <c r="C178" s="51" t="s">
        <v>265</v>
      </c>
      <c r="D178" s="200" t="s">
        <v>48</v>
      </c>
      <c r="F178" s="206">
        <f>+'DLR-Op-Model'!F130</f>
        <v>152.908</v>
      </c>
      <c r="G178" s="206">
        <f>+'DLR-Op-Model'!G130</f>
        <v>141.894</v>
      </c>
      <c r="H178" s="206">
        <f>+'DLR-Op-Model'!H130</f>
        <v>166.607</v>
      </c>
      <c r="I178" s="206">
        <f>+'DLR-Op-Model'!I130</f>
        <v>170.71</v>
      </c>
      <c r="J178" s="206">
        <f>+'DLR-Op-Model'!J130</f>
        <v>174.762</v>
      </c>
      <c r="K178" s="206">
        <f>+'DLR-Op-Model'!K130</f>
        <v>144.135021174761</v>
      </c>
      <c r="L178" s="206">
        <f>+'DLR-Op-Model'!L130</f>
        <v>171.090613007642</v>
      </c>
      <c r="M178" s="614">
        <f>+'DFT-Op-Model'!L124</f>
        <v>161.602305721501</v>
      </c>
      <c r="N178" s="264">
        <v>0</v>
      </c>
      <c r="O178" s="264">
        <v>0</v>
      </c>
      <c r="P178" s="615">
        <f t="shared" si="118"/>
        <v>332.692918729143</v>
      </c>
      <c r="Q178" s="289">
        <f>+'DLR-Op-Model'!M130+'DFT-Op-Model'!M124+SUM($N178:$O178)</f>
        <v>358.96822700287</v>
      </c>
      <c r="R178" s="289">
        <f>+'DLR-Op-Model'!N130+'DFT-Op-Model'!N124+SUM($N178:$O178)</f>
        <v>397.460284704621</v>
      </c>
      <c r="S178" s="289">
        <f>+'DLR-Op-Model'!O130+'DFT-Op-Model'!O124+SUM($N178:$O178)</f>
        <v>348.086294080576</v>
      </c>
      <c r="T178" s="289">
        <f>+'DLR-Op-Model'!P130+'DFT-Op-Model'!P124+SUM($N178:$O178)</f>
        <v>382.913356408205</v>
      </c>
      <c r="U178" s="289">
        <f>+'DLR-Op-Model'!Q130+'DFT-Op-Model'!Q124+SUM($N178:$O178)</f>
        <v>414.031964278504</v>
      </c>
      <c r="V178" s="289">
        <f>+'DLR-Op-Model'!R130+'DFT-Op-Model'!R124+SUM($N178:$O178)</f>
        <v>462.920083649674</v>
      </c>
      <c r="W178" s="289">
        <f>+'DLR-Op-Model'!S130+'DFT-Op-Model'!S124+SUM($N178:$O178)</f>
        <v>406.439927521181</v>
      </c>
      <c r="X178" s="289">
        <f>+'DLR-Op-Model'!T130+'DFT-Op-Model'!T124+SUM($N178:$O178)</f>
        <v>443.934164075707</v>
      </c>
      <c r="Y178" s="289">
        <f>+'DLR-Op-Model'!U130+'DFT-Op-Model'!U124+SUM($N178:$O178)</f>
        <v>479.991790751011</v>
      </c>
      <c r="AA178" s="289">
        <f t="shared" ref="AA178:AD178" si="122">INDEX($F178:$Y178,1,MATCH(AA$155,$F$155:$Y$155,0))</f>
        <v>170.71</v>
      </c>
      <c r="AB178" s="289">
        <f t="shared" si="122"/>
        <v>358.96822700287</v>
      </c>
      <c r="AC178" s="289">
        <f t="shared" si="122"/>
        <v>414.031964278504</v>
      </c>
      <c r="AD178" s="289">
        <f t="shared" si="122"/>
        <v>479.991790751011</v>
      </c>
      <c r="AV178" s="640"/>
      <c r="AW178" s="640"/>
      <c r="AX178" s="640"/>
      <c r="AY178" s="640"/>
      <c r="AZ178" s="640"/>
      <c r="BA178" s="640"/>
      <c r="BB178" s="640"/>
      <c r="BC178" s="640"/>
    </row>
    <row r="179" outlineLevel="1" spans="3:55">
      <c r="C179" s="189" t="s">
        <v>266</v>
      </c>
      <c r="D179" s="181" t="s">
        <v>48</v>
      </c>
      <c r="E179" s="212"/>
      <c r="F179" s="276">
        <f t="shared" ref="F179:M179" si="123">SUM(F176:F178)</f>
        <v>6880.29</v>
      </c>
      <c r="G179" s="276">
        <f t="shared" si="123"/>
        <v>6875.91</v>
      </c>
      <c r="H179" s="276">
        <f t="shared" si="123"/>
        <v>7015.5</v>
      </c>
      <c r="I179" s="276">
        <f t="shared" si="123"/>
        <v>6978.389</v>
      </c>
      <c r="J179" s="276">
        <f t="shared" si="123"/>
        <v>7180.462</v>
      </c>
      <c r="K179" s="276">
        <f t="shared" si="123"/>
        <v>7345.9264993478</v>
      </c>
      <c r="L179" s="276">
        <f t="shared" si="123"/>
        <v>7532.11747982768</v>
      </c>
      <c r="M179" s="629">
        <f t="shared" si="123"/>
        <v>1726.03805169822</v>
      </c>
      <c r="N179" s="276"/>
      <c r="O179" s="276"/>
      <c r="P179" s="630">
        <f t="shared" ref="P179:Y179" si="124">SUM(P176:P178)</f>
        <v>9384.23879317998</v>
      </c>
      <c r="Q179" s="276">
        <f t="shared" si="124"/>
        <v>9531.99443045461</v>
      </c>
      <c r="R179" s="276">
        <f t="shared" si="124"/>
        <v>9754.33793276775</v>
      </c>
      <c r="S179" s="276">
        <f t="shared" si="124"/>
        <v>9895.10851397798</v>
      </c>
      <c r="T179" s="276">
        <f t="shared" si="124"/>
        <v>10168.6117759698</v>
      </c>
      <c r="U179" s="276">
        <f t="shared" si="124"/>
        <v>10326.8441501611</v>
      </c>
      <c r="V179" s="276">
        <f t="shared" si="124"/>
        <v>10585.8149175612</v>
      </c>
      <c r="W179" s="276">
        <f t="shared" si="124"/>
        <v>10738.8345796653</v>
      </c>
      <c r="X179" s="276">
        <f t="shared" si="124"/>
        <v>11027.8779079272</v>
      </c>
      <c r="Y179" s="276">
        <f t="shared" si="124"/>
        <v>11203.5638116194</v>
      </c>
      <c r="AA179" s="276">
        <f t="shared" ref="AA179:AD179" si="125">SUM(AA176:AA178)</f>
        <v>6978.389</v>
      </c>
      <c r="AB179" s="276">
        <f t="shared" si="125"/>
        <v>9531.99443045461</v>
      </c>
      <c r="AC179" s="276">
        <f t="shared" si="125"/>
        <v>10326.8441501611</v>
      </c>
      <c r="AD179" s="276">
        <f t="shared" si="125"/>
        <v>11203.5638116194</v>
      </c>
      <c r="AV179" s="640"/>
      <c r="AW179" s="640"/>
      <c r="AX179" s="640"/>
      <c r="AY179" s="640"/>
      <c r="AZ179" s="640"/>
      <c r="BA179" s="640"/>
      <c r="BB179" s="640"/>
      <c r="BC179" s="640"/>
    </row>
    <row r="180" outlineLevel="1" spans="11:55">
      <c r="K180" s="322"/>
      <c r="L180" s="322"/>
      <c r="M180" s="631"/>
      <c r="N180" s="322"/>
      <c r="O180" s="322"/>
      <c r="P180" s="632"/>
      <c r="Q180" s="322"/>
      <c r="R180" s="322"/>
      <c r="S180" s="322"/>
      <c r="T180" s="322"/>
      <c r="U180" s="322"/>
      <c r="V180" s="322"/>
      <c r="W180" s="322"/>
      <c r="X180" s="322"/>
      <c r="Y180" s="322"/>
      <c r="AA180" s="322"/>
      <c r="AB180" s="322"/>
      <c r="AC180" s="322"/>
      <c r="AD180" s="322"/>
      <c r="AV180" s="640"/>
      <c r="AW180" s="640"/>
      <c r="AX180" s="640"/>
      <c r="AY180" s="640"/>
      <c r="AZ180" s="640"/>
      <c r="BA180" s="640"/>
      <c r="BB180" s="640"/>
      <c r="BC180" s="640"/>
    </row>
    <row r="181" outlineLevel="1" spans="3:30">
      <c r="C181" s="193" t="s">
        <v>267</v>
      </c>
      <c r="D181" s="181" t="s">
        <v>48</v>
      </c>
      <c r="F181" s="598">
        <f>+'DLR-Op-Model'!F133</f>
        <v>3116.663</v>
      </c>
      <c r="G181" s="598">
        <f>+'DLR-Op-Model'!G133</f>
        <v>2999.687</v>
      </c>
      <c r="H181" s="598">
        <f>+'DLR-Op-Model'!H133</f>
        <v>4145.76</v>
      </c>
      <c r="I181" s="598">
        <f>+'DLR-Op-Model'!I133</f>
        <v>4083.051</v>
      </c>
      <c r="J181" s="598">
        <f>+'DLR-Op-Model'!J133</f>
        <v>4018.502</v>
      </c>
      <c r="K181" s="598">
        <f>+'DLR-Op-Model'!K133</f>
        <v>3935.81511882683</v>
      </c>
      <c r="L181" s="598">
        <f>+'DLR-Op-Model'!L133</f>
        <v>3828.11263752162</v>
      </c>
      <c r="M181" s="633">
        <f>+'DFT-Op-Model'!L127</f>
        <v>765.562532104626</v>
      </c>
      <c r="N181" s="323">
        <f>+D55-M45</f>
        <v>-885.608293758704</v>
      </c>
      <c r="O181" s="323">
        <f>+D45</f>
        <v>5831.186380233</v>
      </c>
      <c r="P181" s="634">
        <f t="shared" ref="P181:P184" si="126">SUM(L181:O181)</f>
        <v>9539.25325610054</v>
      </c>
      <c r="Q181" s="323">
        <f t="shared" ref="Q181:Y181" si="127">+P181+Q194+Q200+Q208+Q223+Q224+Q225</f>
        <v>9547.9432900921</v>
      </c>
      <c r="R181" s="323">
        <f t="shared" si="127"/>
        <v>9263.12323018643</v>
      </c>
      <c r="S181" s="323">
        <f t="shared" si="127"/>
        <v>9113.61032783988</v>
      </c>
      <c r="T181" s="323">
        <f t="shared" si="127"/>
        <v>8960.9108378513</v>
      </c>
      <c r="U181" s="323">
        <f t="shared" si="127"/>
        <v>8984.70939182217</v>
      </c>
      <c r="V181" s="323">
        <f t="shared" si="127"/>
        <v>8673.45878498965</v>
      </c>
      <c r="W181" s="323">
        <f t="shared" si="127"/>
        <v>8519.97602447882</v>
      </c>
      <c r="X181" s="323">
        <f t="shared" si="127"/>
        <v>8358.36504145886</v>
      </c>
      <c r="Y181" s="323">
        <f t="shared" si="127"/>
        <v>8396.21844771302</v>
      </c>
      <c r="AA181" s="323">
        <f t="shared" ref="AA181:AD181" si="128">INDEX($F181:$Y181,1,MATCH(AA$155,$F$155:$Y$155,0))</f>
        <v>4083.051</v>
      </c>
      <c r="AB181" s="323">
        <f t="shared" si="128"/>
        <v>9547.9432900921</v>
      </c>
      <c r="AC181" s="323">
        <f t="shared" si="128"/>
        <v>8984.70939182217</v>
      </c>
      <c r="AD181" s="323">
        <f t="shared" si="128"/>
        <v>8396.21844771302</v>
      </c>
    </row>
    <row r="182" outlineLevel="1" spans="3:30">
      <c r="C182" s="51" t="s">
        <v>103</v>
      </c>
      <c r="D182" s="181" t="s">
        <v>48</v>
      </c>
      <c r="F182" s="521">
        <f>+'DLR-Op-Model'!F134</f>
        <v>1290.135</v>
      </c>
      <c r="G182" s="521">
        <f>+'DLR-Op-Model'!G134</f>
        <v>1290.133</v>
      </c>
      <c r="H182" s="521">
        <f>+'DLR-Op-Model'!H134</f>
        <v>1012.961</v>
      </c>
      <c r="I182" s="521">
        <f>+'DLR-Op-Model'!I134</f>
        <v>1012.961</v>
      </c>
      <c r="J182" s="521">
        <f>+'DLR-Op-Model'!J134</f>
        <v>1012.961</v>
      </c>
      <c r="K182" s="521">
        <f>+'DLR-Op-Model'!K134</f>
        <v>1012.961</v>
      </c>
      <c r="L182" s="521">
        <f>+'DLR-Op-Model'!L134</f>
        <v>1012.961</v>
      </c>
      <c r="M182" s="611">
        <f>+'DFT-Op-Model'!L128</f>
        <v>201.25</v>
      </c>
      <c r="N182" s="302">
        <f>-M44-K18</f>
        <v>-207.2875</v>
      </c>
      <c r="O182" s="302">
        <f>+Refi_Preferred</f>
        <v>201.25</v>
      </c>
      <c r="P182" s="560">
        <f t="shared" si="126"/>
        <v>1208.1735</v>
      </c>
      <c r="Q182" s="302">
        <f t="shared" ref="Q182:Y182" si="129">+P182+Q222</f>
        <v>1208.1735</v>
      </c>
      <c r="R182" s="302">
        <f t="shared" si="129"/>
        <v>1208.1735</v>
      </c>
      <c r="S182" s="302">
        <f t="shared" si="129"/>
        <v>1208.1735</v>
      </c>
      <c r="T182" s="302">
        <f t="shared" si="129"/>
        <v>1208.1735</v>
      </c>
      <c r="U182" s="302">
        <f t="shared" si="129"/>
        <v>1208.1735</v>
      </c>
      <c r="V182" s="302">
        <f t="shared" si="129"/>
        <v>1208.1735</v>
      </c>
      <c r="W182" s="302">
        <f t="shared" si="129"/>
        <v>1208.1735</v>
      </c>
      <c r="X182" s="302">
        <f t="shared" si="129"/>
        <v>1208.1735</v>
      </c>
      <c r="Y182" s="302">
        <f t="shared" si="129"/>
        <v>1208.1735</v>
      </c>
      <c r="AA182" s="302">
        <f t="shared" ref="AA182:AD182" si="130">INDEX($F182:$Y182,1,MATCH(AA$155,$F$155:$Y$155,0))</f>
        <v>1012.961</v>
      </c>
      <c r="AB182" s="302">
        <f t="shared" si="130"/>
        <v>1208.1735</v>
      </c>
      <c r="AC182" s="302">
        <f t="shared" si="130"/>
        <v>1208.1735</v>
      </c>
      <c r="AD182" s="302">
        <f t="shared" si="130"/>
        <v>1208.1735</v>
      </c>
    </row>
    <row r="183" outlineLevel="1" spans="3:30">
      <c r="C183" s="51" t="s">
        <v>268</v>
      </c>
      <c r="D183" s="181" t="s">
        <v>48</v>
      </c>
      <c r="F183" s="521">
        <f>+'DLR-Op-Model'!F135</f>
        <v>31.648</v>
      </c>
      <c r="G183" s="521">
        <f>+'DLR-Op-Model'!G135</f>
        <v>29.095</v>
      </c>
      <c r="H183" s="521">
        <f>+'DLR-Op-Model'!H135</f>
        <v>31.088</v>
      </c>
      <c r="I183" s="521">
        <f>+'DLR-Op-Model'!I135</f>
        <v>29.687</v>
      </c>
      <c r="J183" s="521">
        <f>+'DLR-Op-Model'!J135</f>
        <v>32.409</v>
      </c>
      <c r="K183" s="206">
        <f>+'DLR-Op-Model'!K135</f>
        <v>32.409</v>
      </c>
      <c r="L183" s="206">
        <f>+'DLR-Op-Model'!L135</f>
        <v>32.409</v>
      </c>
      <c r="M183" s="614">
        <f>+'DFT-Op-Model'!L129</f>
        <v>594.48965</v>
      </c>
      <c r="N183" s="264">
        <v>0</v>
      </c>
      <c r="O183" s="264">
        <v>0</v>
      </c>
      <c r="P183" s="615">
        <f t="shared" si="126"/>
        <v>626.89865</v>
      </c>
      <c r="Q183" s="289">
        <f>+P183+'DFT-Op-Model'!M149</f>
        <v>632.55705</v>
      </c>
      <c r="R183" s="289">
        <f>+Q183+'DFT-Op-Model'!N149</f>
        <v>639.024</v>
      </c>
      <c r="S183" s="289">
        <f>+R183+'DFT-Op-Model'!O149</f>
        <v>645.0216</v>
      </c>
      <c r="T183" s="289">
        <f>+S183+'DFT-Op-Model'!P149</f>
        <v>651.92388</v>
      </c>
      <c r="U183" s="289">
        <f>+T183+'DFT-Op-Model'!Q149</f>
        <v>660.9402825</v>
      </c>
      <c r="V183" s="289">
        <f>+U183+'DFT-Op-Model'!R149</f>
        <v>666.8816025</v>
      </c>
      <c r="W183" s="289">
        <f>+V183+'DFT-Op-Model'!S149</f>
        <v>673.6719</v>
      </c>
      <c r="X183" s="289">
        <f>+W183+'DFT-Op-Model'!T149</f>
        <v>679.96938</v>
      </c>
      <c r="Y183" s="289">
        <f>+X183+'DFT-Op-Model'!U149</f>
        <v>687.216774</v>
      </c>
      <c r="AA183" s="289">
        <f t="shared" ref="AA183:AD183" si="131">INDEX($F183:$Y183,1,MATCH(AA$155,$F$155:$Y$155,0))</f>
        <v>29.687</v>
      </c>
      <c r="AB183" s="289">
        <f t="shared" si="131"/>
        <v>632.55705</v>
      </c>
      <c r="AC183" s="289">
        <f t="shared" si="131"/>
        <v>660.9402825</v>
      </c>
      <c r="AD183" s="289">
        <f t="shared" si="131"/>
        <v>687.216774</v>
      </c>
    </row>
    <row r="184" outlineLevel="1" spans="3:30">
      <c r="C184" s="51" t="s">
        <v>269</v>
      </c>
      <c r="D184" s="181" t="s">
        <v>48</v>
      </c>
      <c r="F184" s="521">
        <f>+'DLR-Op-Model'!F136</f>
        <v>6.764</v>
      </c>
      <c r="G184" s="521">
        <f>+'DLR-Op-Model'!G136</f>
        <v>6.727</v>
      </c>
      <c r="H184" s="521">
        <f>+'DLR-Op-Model'!H136</f>
        <v>6.839</v>
      </c>
      <c r="I184" s="521">
        <f>+'DLR-Op-Model'!I136</f>
        <v>6.598</v>
      </c>
      <c r="J184" s="521">
        <f>+'DLR-Op-Model'!J136</f>
        <v>6.573</v>
      </c>
      <c r="K184" s="206">
        <f>+'DLR-Op-Model'!K136</f>
        <v>7.5138</v>
      </c>
      <c r="L184" s="206">
        <f>+'DLR-Op-Model'!L136</f>
        <v>8.16815</v>
      </c>
      <c r="M184" s="635">
        <v>0</v>
      </c>
      <c r="N184" s="264">
        <v>0</v>
      </c>
      <c r="O184" s="264">
        <v>0</v>
      </c>
      <c r="P184" s="615">
        <f t="shared" si="126"/>
        <v>8.16815</v>
      </c>
      <c r="Q184" s="289">
        <f>+P184+'DLR-Op-Model'!M156</f>
        <v>11.73985</v>
      </c>
      <c r="R184" s="289">
        <f>+Q184+'DLR-Op-Model'!N156</f>
        <v>12.8581</v>
      </c>
      <c r="S184" s="289">
        <f>+R184+'DLR-Op-Model'!O156</f>
        <v>13.93435</v>
      </c>
      <c r="T184" s="289">
        <f>+S184+'DLR-Op-Model'!P156</f>
        <v>14.92219</v>
      </c>
      <c r="U184" s="289">
        <f>+T184+'DLR-Op-Model'!Q156</f>
        <v>15.6092575</v>
      </c>
      <c r="V184" s="289">
        <f>+U184+'DLR-Op-Model'!R156</f>
        <v>19.3595425</v>
      </c>
      <c r="W184" s="289">
        <f>+V184+'DLR-Op-Model'!S156</f>
        <v>20.533705</v>
      </c>
      <c r="X184" s="289">
        <f>+W184+'DLR-Op-Model'!T156</f>
        <v>21.6637675</v>
      </c>
      <c r="Y184" s="289">
        <f>+X184+'DLR-Op-Model'!U156</f>
        <v>22.7009995</v>
      </c>
      <c r="AA184" s="289">
        <f t="shared" ref="AA184:AD184" si="132">INDEX($F184:$Y184,1,MATCH(AA$155,$F$155:$Y$155,0))</f>
        <v>6.598</v>
      </c>
      <c r="AB184" s="289">
        <f t="shared" si="132"/>
        <v>11.73985</v>
      </c>
      <c r="AC184" s="289">
        <f t="shared" si="132"/>
        <v>15.6092575</v>
      </c>
      <c r="AD184" s="289">
        <f t="shared" si="132"/>
        <v>22.7009995</v>
      </c>
    </row>
    <row r="185" outlineLevel="1" spans="3:30">
      <c r="C185" s="189" t="s">
        <v>270</v>
      </c>
      <c r="D185" s="190" t="s">
        <v>48</v>
      </c>
      <c r="E185" s="212"/>
      <c r="F185" s="325">
        <f t="shared" ref="F185:M185" si="133">SUM(F181:F184)</f>
        <v>4445.21</v>
      </c>
      <c r="G185" s="325">
        <f t="shared" si="133"/>
        <v>4325.642</v>
      </c>
      <c r="H185" s="325">
        <f t="shared" si="133"/>
        <v>5196.648</v>
      </c>
      <c r="I185" s="325">
        <f t="shared" si="133"/>
        <v>5132.297</v>
      </c>
      <c r="J185" s="325">
        <f t="shared" si="133"/>
        <v>5070.445</v>
      </c>
      <c r="K185" s="325">
        <f t="shared" si="133"/>
        <v>4988.69891882683</v>
      </c>
      <c r="L185" s="325">
        <f t="shared" si="133"/>
        <v>4881.65078752162</v>
      </c>
      <c r="M185" s="636">
        <f t="shared" si="133"/>
        <v>1561.30218210463</v>
      </c>
      <c r="N185" s="325"/>
      <c r="O185" s="325"/>
      <c r="P185" s="637">
        <f t="shared" ref="P185:Y185" si="134">SUM(P181:P184)</f>
        <v>11382.4935561005</v>
      </c>
      <c r="Q185" s="325">
        <f t="shared" si="134"/>
        <v>11400.4136900921</v>
      </c>
      <c r="R185" s="325">
        <f t="shared" si="134"/>
        <v>11123.1788301864</v>
      </c>
      <c r="S185" s="325">
        <f t="shared" si="134"/>
        <v>10980.7397778399</v>
      </c>
      <c r="T185" s="325">
        <f t="shared" si="134"/>
        <v>10835.9304078513</v>
      </c>
      <c r="U185" s="325">
        <f t="shared" si="134"/>
        <v>10869.4324318222</v>
      </c>
      <c r="V185" s="325">
        <f t="shared" si="134"/>
        <v>10567.8734299897</v>
      </c>
      <c r="W185" s="325">
        <f t="shared" si="134"/>
        <v>10422.3551294788</v>
      </c>
      <c r="X185" s="325">
        <f t="shared" si="134"/>
        <v>10268.1716889589</v>
      </c>
      <c r="Y185" s="325">
        <f t="shared" si="134"/>
        <v>10314.309721213</v>
      </c>
      <c r="AA185" s="325">
        <f t="shared" ref="AA185:AD185" si="135">SUM(AA181:AA184)</f>
        <v>5132.297</v>
      </c>
      <c r="AB185" s="325">
        <f t="shared" si="135"/>
        <v>11400.4136900921</v>
      </c>
      <c r="AC185" s="325">
        <f t="shared" si="135"/>
        <v>10869.4324318222</v>
      </c>
      <c r="AD185" s="325">
        <f t="shared" si="135"/>
        <v>10314.309721213</v>
      </c>
    </row>
    <row r="186" outlineLevel="1" spans="11:30">
      <c r="K186" s="322"/>
      <c r="L186" s="322"/>
      <c r="M186" s="631"/>
      <c r="N186" s="322"/>
      <c r="O186" s="322"/>
      <c r="P186" s="632"/>
      <c r="Q186" s="322"/>
      <c r="R186" s="322"/>
      <c r="S186" s="322"/>
      <c r="T186" s="322"/>
      <c r="U186" s="322"/>
      <c r="V186" s="322"/>
      <c r="W186" s="322"/>
      <c r="X186" s="322"/>
      <c r="Y186" s="322"/>
      <c r="AA186" s="322"/>
      <c r="AB186" s="322"/>
      <c r="AC186" s="322"/>
      <c r="AD186" s="322"/>
    </row>
    <row r="187" outlineLevel="1" spans="3:30">
      <c r="C187" s="193" t="s">
        <v>271</v>
      </c>
      <c r="D187" s="181" t="s">
        <v>48</v>
      </c>
      <c r="F187" s="326">
        <f t="shared" ref="F187:M187" si="136">+F179+F185</f>
        <v>11325.5</v>
      </c>
      <c r="G187" s="326">
        <f t="shared" si="136"/>
        <v>11201.552</v>
      </c>
      <c r="H187" s="326">
        <f t="shared" si="136"/>
        <v>12212.148</v>
      </c>
      <c r="I187" s="326">
        <f t="shared" si="136"/>
        <v>12110.686</v>
      </c>
      <c r="J187" s="326">
        <f t="shared" si="136"/>
        <v>12250.907</v>
      </c>
      <c r="K187" s="326">
        <f t="shared" si="136"/>
        <v>12334.6254181746</v>
      </c>
      <c r="L187" s="326">
        <f t="shared" si="136"/>
        <v>12413.7682673493</v>
      </c>
      <c r="M187" s="585">
        <f t="shared" si="136"/>
        <v>3287.34023380285</v>
      </c>
      <c r="N187" s="326"/>
      <c r="O187" s="326"/>
      <c r="P187" s="586">
        <f t="shared" ref="P187:Y187" si="137">+P179+P185</f>
        <v>20766.7323492805</v>
      </c>
      <c r="Q187" s="326">
        <f t="shared" si="137"/>
        <v>20932.4081205467</v>
      </c>
      <c r="R187" s="326">
        <f t="shared" si="137"/>
        <v>20877.5167629542</v>
      </c>
      <c r="S187" s="326">
        <f t="shared" si="137"/>
        <v>20875.8482918179</v>
      </c>
      <c r="T187" s="326">
        <f t="shared" si="137"/>
        <v>21004.5421838211</v>
      </c>
      <c r="U187" s="326">
        <f t="shared" si="137"/>
        <v>21196.2765819833</v>
      </c>
      <c r="V187" s="326">
        <f t="shared" si="137"/>
        <v>21153.6883475508</v>
      </c>
      <c r="W187" s="326">
        <f t="shared" si="137"/>
        <v>21161.1897091441</v>
      </c>
      <c r="X187" s="326">
        <f t="shared" si="137"/>
        <v>21296.0495968861</v>
      </c>
      <c r="Y187" s="326">
        <f t="shared" si="137"/>
        <v>21517.8735328324</v>
      </c>
      <c r="AA187" s="326">
        <f t="shared" ref="AA187:AD187" si="138">+AA179+AA185</f>
        <v>12110.686</v>
      </c>
      <c r="AB187" s="326">
        <f t="shared" si="138"/>
        <v>20932.4081205467</v>
      </c>
      <c r="AC187" s="326">
        <f t="shared" si="138"/>
        <v>21196.2765819833</v>
      </c>
      <c r="AD187" s="326">
        <f t="shared" si="138"/>
        <v>21517.8735328324</v>
      </c>
    </row>
    <row r="188" outlineLevel="1" spans="13:16">
      <c r="M188" s="576"/>
      <c r="P188" s="577"/>
    </row>
    <row r="189" outlineLevel="1" spans="3:30">
      <c r="C189" s="193" t="s">
        <v>272</v>
      </c>
      <c r="F189" s="327">
        <f t="shared" ref="F189:M189" si="139">+F173-F187</f>
        <v>0</v>
      </c>
      <c r="G189" s="327">
        <f t="shared" si="139"/>
        <v>0</v>
      </c>
      <c r="H189" s="327">
        <f t="shared" si="139"/>
        <v>0</v>
      </c>
      <c r="I189" s="327">
        <f t="shared" si="139"/>
        <v>0</v>
      </c>
      <c r="J189" s="327">
        <f t="shared" si="139"/>
        <v>0</v>
      </c>
      <c r="K189" s="327">
        <f t="shared" si="139"/>
        <v>0</v>
      </c>
      <c r="L189" s="327">
        <f t="shared" si="139"/>
        <v>0</v>
      </c>
      <c r="M189" s="638">
        <f t="shared" si="139"/>
        <v>0</v>
      </c>
      <c r="N189" s="327"/>
      <c r="O189" s="327"/>
      <c r="P189" s="327">
        <f t="shared" ref="P189:Y189" si="140">+P173-P187</f>
        <v>0</v>
      </c>
      <c r="Q189" s="327">
        <f t="shared" si="140"/>
        <v>0</v>
      </c>
      <c r="R189" s="327">
        <f t="shared" si="140"/>
        <v>0</v>
      </c>
      <c r="S189" s="327">
        <f t="shared" si="140"/>
        <v>0</v>
      </c>
      <c r="T189" s="327">
        <f t="shared" si="140"/>
        <v>0</v>
      </c>
      <c r="U189" s="327">
        <f t="shared" si="140"/>
        <v>0</v>
      </c>
      <c r="V189" s="327">
        <f t="shared" si="140"/>
        <v>0</v>
      </c>
      <c r="W189" s="327">
        <f t="shared" si="140"/>
        <v>0</v>
      </c>
      <c r="X189" s="327">
        <f t="shared" si="140"/>
        <v>0</v>
      </c>
      <c r="Y189" s="327">
        <f t="shared" si="140"/>
        <v>0</v>
      </c>
      <c r="AA189" s="327">
        <f t="shared" ref="AA189:AD189" si="141">+AA173-AA187</f>
        <v>0</v>
      </c>
      <c r="AB189" s="327">
        <f t="shared" si="141"/>
        <v>0</v>
      </c>
      <c r="AC189" s="327">
        <f t="shared" si="141"/>
        <v>0</v>
      </c>
      <c r="AD189" s="327">
        <f t="shared" si="141"/>
        <v>0</v>
      </c>
    </row>
    <row r="191" spans="2:30">
      <c r="B191" s="254"/>
      <c r="C191" s="254"/>
      <c r="D191" s="255"/>
      <c r="E191" s="256"/>
      <c r="F191" s="257" t="str">
        <f>$F$82</f>
        <v>Historical:</v>
      </c>
      <c r="G191" s="257"/>
      <c r="H191" s="257"/>
      <c r="I191" s="257"/>
      <c r="J191" s="296"/>
      <c r="K191" s="297" t="str">
        <f>$K$82</f>
        <v>Projected:</v>
      </c>
      <c r="L191" s="257"/>
      <c r="M191" s="297" t="str">
        <f>$M$82</f>
        <v>Transaction Adjustments:</v>
      </c>
      <c r="N191" s="257"/>
      <c r="O191" s="257"/>
      <c r="P191" s="296"/>
      <c r="Q191" s="257" t="str">
        <f>$Q$82</f>
        <v>Projected:</v>
      </c>
      <c r="R191" s="257"/>
      <c r="S191" s="257"/>
      <c r="T191" s="257"/>
      <c r="U191" s="257"/>
      <c r="V191" s="257"/>
      <c r="W191" s="257"/>
      <c r="X191" s="257"/>
      <c r="Y191" s="257"/>
      <c r="AA191" s="257" t="str">
        <f>$AA$82</f>
        <v>Historical:</v>
      </c>
      <c r="AB191" s="297" t="str">
        <f>$AB$82</f>
        <v>Projected:</v>
      </c>
      <c r="AC191" s="257"/>
      <c r="AD191" s="257"/>
    </row>
    <row r="192" spans="2:30">
      <c r="B192" s="173" t="s">
        <v>273</v>
      </c>
      <c r="C192" s="173"/>
      <c r="D192" s="174" t="str">
        <f>+$D$5</f>
        <v>Units:</v>
      </c>
      <c r="E192" s="175"/>
      <c r="F192" s="258">
        <f>$F$83</f>
        <v>42460</v>
      </c>
      <c r="G192" s="259">
        <f>$G$83</f>
        <v>42551</v>
      </c>
      <c r="H192" s="260">
        <f>$H$83</f>
        <v>42643</v>
      </c>
      <c r="I192" s="298">
        <f>$I$83</f>
        <v>42735</v>
      </c>
      <c r="J192" s="258">
        <f>$J$83</f>
        <v>42825</v>
      </c>
      <c r="K192" s="299">
        <f>$K$83</f>
        <v>42916</v>
      </c>
      <c r="L192" s="260">
        <f>$L$83</f>
        <v>43008</v>
      </c>
      <c r="M192" s="550" t="str">
        <f>$M$83</f>
        <v>Seller</v>
      </c>
      <c r="N192" s="260" t="str">
        <f>$N$83</f>
        <v>Debit</v>
      </c>
      <c r="O192" s="260" t="str">
        <f>$O$83</f>
        <v>Credit</v>
      </c>
      <c r="P192" s="551">
        <f>$P$83</f>
        <v>43008</v>
      </c>
      <c r="Q192" s="298">
        <f>$Q$83</f>
        <v>43100</v>
      </c>
      <c r="R192" s="258">
        <f>$R$83</f>
        <v>43190</v>
      </c>
      <c r="S192" s="259">
        <f>$S$83</f>
        <v>43281</v>
      </c>
      <c r="T192" s="260">
        <f>$T$83</f>
        <v>43373</v>
      </c>
      <c r="U192" s="298">
        <f>$U$83</f>
        <v>43465</v>
      </c>
      <c r="V192" s="258">
        <f>$V$83</f>
        <v>43555</v>
      </c>
      <c r="W192" s="259">
        <f>$W$83</f>
        <v>43646</v>
      </c>
      <c r="X192" s="260">
        <f>$X$83</f>
        <v>43738</v>
      </c>
      <c r="Y192" s="298">
        <f>$Y$83</f>
        <v>43830</v>
      </c>
      <c r="AA192" s="313">
        <f>$AA$83</f>
        <v>42735</v>
      </c>
      <c r="AB192" s="314">
        <f>$AB$83</f>
        <v>43100</v>
      </c>
      <c r="AC192" s="176">
        <f>$AC$83</f>
        <v>43465</v>
      </c>
      <c r="AD192" s="176">
        <f>$AD$83</f>
        <v>43830</v>
      </c>
    </row>
    <row r="193" outlineLevel="1" spans="3:16">
      <c r="C193" s="193" t="s">
        <v>274</v>
      </c>
      <c r="M193" s="648"/>
      <c r="N193" s="212"/>
      <c r="O193" s="212"/>
      <c r="P193" s="649"/>
    </row>
    <row r="194" outlineLevel="1" spans="3:30">
      <c r="C194" s="51" t="s">
        <v>275</v>
      </c>
      <c r="D194" s="181" t="s">
        <v>48</v>
      </c>
      <c r="F194" s="329">
        <f t="shared" ref="F194:L194" si="142">+F126</f>
        <v>39.125</v>
      </c>
      <c r="G194" s="329">
        <f t="shared" si="142"/>
        <v>27.951</v>
      </c>
      <c r="H194" s="329">
        <f t="shared" si="142"/>
        <v>187.33</v>
      </c>
      <c r="I194" s="329">
        <f t="shared" si="142"/>
        <v>77.6820000000001</v>
      </c>
      <c r="J194" s="329">
        <f t="shared" si="142"/>
        <v>66.145</v>
      </c>
      <c r="K194" s="329">
        <f t="shared" si="142"/>
        <v>43.6330873647536</v>
      </c>
      <c r="L194" s="329">
        <f t="shared" si="142"/>
        <v>46.9938511320317</v>
      </c>
      <c r="M194" s="650"/>
      <c r="N194" s="329"/>
      <c r="O194" s="329"/>
      <c r="P194" s="651">
        <f t="shared" ref="P194:P198" si="143">+L194</f>
        <v>46.9938511320317</v>
      </c>
      <c r="Q194" s="329">
        <f t="shared" ref="Q194:Y194" si="144">+Q126</f>
        <v>58.05085820611</v>
      </c>
      <c r="R194" s="329">
        <f t="shared" si="144"/>
        <v>73.2262554499201</v>
      </c>
      <c r="S194" s="329">
        <f t="shared" si="144"/>
        <v>47.6692398881536</v>
      </c>
      <c r="T194" s="329">
        <f t="shared" si="144"/>
        <v>58.9251972954341</v>
      </c>
      <c r="U194" s="329">
        <f t="shared" si="144"/>
        <v>83.351893751948</v>
      </c>
      <c r="V194" s="329">
        <f t="shared" si="144"/>
        <v>97.8254279564179</v>
      </c>
      <c r="W194" s="329">
        <f t="shared" si="144"/>
        <v>72.0627699086696</v>
      </c>
      <c r="X194" s="329">
        <f t="shared" si="144"/>
        <v>83.3397125820833</v>
      </c>
      <c r="Y194" s="329">
        <f t="shared" si="144"/>
        <v>105.314824936053</v>
      </c>
      <c r="AA194" s="301">
        <f t="shared" ref="AA194:AD194" si="145">SUMIF($F$78:$Y$78,AA$78,$F194:$Y194)</f>
        <v>332.088</v>
      </c>
      <c r="AB194" s="301">
        <f t="shared" si="145"/>
        <v>214.822796702895</v>
      </c>
      <c r="AC194" s="301">
        <f t="shared" si="145"/>
        <v>263.172586385456</v>
      </c>
      <c r="AD194" s="301">
        <f t="shared" si="145"/>
        <v>358.542735383224</v>
      </c>
    </row>
    <row r="195" outlineLevel="1" spans="3:30">
      <c r="C195" s="51" t="s">
        <v>276</v>
      </c>
      <c r="D195" s="181" t="s">
        <v>48</v>
      </c>
      <c r="F195" s="309">
        <f t="shared" ref="F195:L195" si="146">-F121</f>
        <v>0.784</v>
      </c>
      <c r="G195" s="309">
        <f t="shared" si="146"/>
        <v>0.569</v>
      </c>
      <c r="H195" s="309">
        <f t="shared" si="146"/>
        <v>3.247</v>
      </c>
      <c r="I195" s="309">
        <f t="shared" si="146"/>
        <v>1.065</v>
      </c>
      <c r="J195" s="309">
        <f t="shared" si="146"/>
        <v>1.025</v>
      </c>
      <c r="K195" s="309">
        <f t="shared" si="146"/>
        <v>0.9408</v>
      </c>
      <c r="L195" s="309">
        <f t="shared" si="146"/>
        <v>0.65435</v>
      </c>
      <c r="M195" s="578"/>
      <c r="N195" s="309"/>
      <c r="O195" s="309"/>
      <c r="P195" s="579">
        <f t="shared" si="143"/>
        <v>0.65435</v>
      </c>
      <c r="Q195" s="309">
        <f t="shared" ref="Q195:Y195" si="147">-Q121</f>
        <v>9.2301</v>
      </c>
      <c r="R195" s="309">
        <f t="shared" si="147"/>
        <v>7.5852</v>
      </c>
      <c r="S195" s="309">
        <f t="shared" si="147"/>
        <v>7.07385</v>
      </c>
      <c r="T195" s="309">
        <f t="shared" si="147"/>
        <v>7.89012</v>
      </c>
      <c r="U195" s="309">
        <f t="shared" si="147"/>
        <v>9.70347</v>
      </c>
      <c r="V195" s="309">
        <f t="shared" si="147"/>
        <v>9.691605</v>
      </c>
      <c r="W195" s="309">
        <f t="shared" si="147"/>
        <v>7.96446</v>
      </c>
      <c r="X195" s="309">
        <f t="shared" si="147"/>
        <v>7.4275425</v>
      </c>
      <c r="Y195" s="309">
        <f t="shared" si="147"/>
        <v>8.284626</v>
      </c>
      <c r="AA195" s="302">
        <f t="shared" ref="AA195:AD195" si="148">SUMIF($F$78:$Y$78,AA$78,$F195:$Y195)</f>
        <v>5.665</v>
      </c>
      <c r="AB195" s="302">
        <f t="shared" si="148"/>
        <v>11.85025</v>
      </c>
      <c r="AC195" s="302">
        <f t="shared" si="148"/>
        <v>32.25264</v>
      </c>
      <c r="AD195" s="302">
        <f t="shared" si="148"/>
        <v>33.3682335</v>
      </c>
    </row>
    <row r="196" outlineLevel="1" spans="3:30">
      <c r="C196" s="51" t="s">
        <v>277</v>
      </c>
      <c r="D196" s="181" t="s">
        <v>48</v>
      </c>
      <c r="F196" s="309">
        <f t="shared" ref="F196:L196" si="149">-F111</f>
        <v>-4.078</v>
      </c>
      <c r="G196" s="309">
        <f t="shared" si="149"/>
        <v>-4.132</v>
      </c>
      <c r="H196" s="309">
        <f t="shared" si="149"/>
        <v>-4.152</v>
      </c>
      <c r="I196" s="309">
        <f t="shared" si="149"/>
        <v>-4.742</v>
      </c>
      <c r="J196" s="309">
        <f t="shared" si="149"/>
        <v>-5.324</v>
      </c>
      <c r="K196" s="309">
        <f t="shared" si="149"/>
        <v>-4.9584</v>
      </c>
      <c r="L196" s="309">
        <f t="shared" si="149"/>
        <v>-4.7748</v>
      </c>
      <c r="M196" s="578"/>
      <c r="N196" s="309"/>
      <c r="O196" s="309"/>
      <c r="P196" s="579">
        <f t="shared" si="143"/>
        <v>-4.7748</v>
      </c>
      <c r="Q196" s="309">
        <f t="shared" ref="Q196:Y196" si="150">-Q111</f>
        <v>-5.2162</v>
      </c>
      <c r="R196" s="309">
        <f t="shared" si="150"/>
        <v>-5.5902</v>
      </c>
      <c r="S196" s="309">
        <f t="shared" si="150"/>
        <v>-5.20632</v>
      </c>
      <c r="T196" s="309">
        <f t="shared" si="150"/>
        <v>-5.01354</v>
      </c>
      <c r="U196" s="309">
        <f t="shared" si="150"/>
        <v>-5.47701</v>
      </c>
      <c r="V196" s="309">
        <f t="shared" si="150"/>
        <v>-5.86971</v>
      </c>
      <c r="W196" s="309">
        <f t="shared" si="150"/>
        <v>-5.466636</v>
      </c>
      <c r="X196" s="309">
        <f t="shared" si="150"/>
        <v>-5.264217</v>
      </c>
      <c r="Y196" s="309">
        <f t="shared" si="150"/>
        <v>-5.7508605</v>
      </c>
      <c r="AA196" s="302">
        <f t="shared" ref="AA196:AD196" si="151">SUMIF($F$78:$Y$78,AA$78,$F196:$Y196)</f>
        <v>-17.104</v>
      </c>
      <c r="AB196" s="302">
        <f t="shared" si="151"/>
        <v>-20.2734</v>
      </c>
      <c r="AC196" s="302">
        <f t="shared" si="151"/>
        <v>-21.28707</v>
      </c>
      <c r="AD196" s="302">
        <f t="shared" si="151"/>
        <v>-22.3514235</v>
      </c>
    </row>
    <row r="197" outlineLevel="1" spans="3:30">
      <c r="C197" s="51" t="s">
        <v>278</v>
      </c>
      <c r="D197" s="181" t="s">
        <v>48</v>
      </c>
      <c r="F197" s="521">
        <f>+'DLR-Op-Model'!F158</f>
        <v>4.115</v>
      </c>
      <c r="G197" s="521">
        <f>+'DLR-Op-Model'!G158</f>
        <v>4.453</v>
      </c>
      <c r="H197" s="521">
        <f>+'DLR-Op-Model'!H158</f>
        <v>4.01</v>
      </c>
      <c r="I197" s="521">
        <f>+'DLR-Op-Model'!I158</f>
        <v>4.177</v>
      </c>
      <c r="J197" s="521">
        <f>+'DLR-Op-Model'!J158</f>
        <v>4.448</v>
      </c>
      <c r="K197" s="521">
        <f>+'DLR-Op-Model'!K158</f>
        <v>4.21464</v>
      </c>
      <c r="L197" s="521">
        <f>+'DLR-Op-Model'!L158</f>
        <v>4.53606</v>
      </c>
      <c r="M197" s="578"/>
      <c r="N197" s="309"/>
      <c r="O197" s="309"/>
      <c r="P197" s="579">
        <f t="shared" si="143"/>
        <v>4.53606</v>
      </c>
      <c r="Q197" s="521">
        <f>+'DLR-Op-Model'!M158</f>
        <v>4.69458</v>
      </c>
      <c r="R197" s="521">
        <f>+'DLR-Op-Model'!N158</f>
        <v>4.47216</v>
      </c>
      <c r="S197" s="521">
        <f>+'DLR-Op-Model'!O158</f>
        <v>4.425372</v>
      </c>
      <c r="T197" s="521">
        <f>+'DLR-Op-Model'!P158</f>
        <v>4.762863</v>
      </c>
      <c r="U197" s="521">
        <f>+'DLR-Op-Model'!Q158</f>
        <v>4.929309</v>
      </c>
      <c r="V197" s="521">
        <f>+'DLR-Op-Model'!R158</f>
        <v>4.695768</v>
      </c>
      <c r="W197" s="521">
        <f>+'DLR-Op-Model'!S158</f>
        <v>4.6466406</v>
      </c>
      <c r="X197" s="521">
        <f>+'DLR-Op-Model'!T158</f>
        <v>5.00100615</v>
      </c>
      <c r="Y197" s="521">
        <f>+'DLR-Op-Model'!U158</f>
        <v>5.17577445</v>
      </c>
      <c r="AA197" s="302">
        <f t="shared" ref="AA197:AD197" si="152">SUMIF($F$78:$Y$78,AA$78,$F197:$Y197)</f>
        <v>16.755</v>
      </c>
      <c r="AB197" s="302">
        <f t="shared" si="152"/>
        <v>17.89328</v>
      </c>
      <c r="AC197" s="302">
        <f t="shared" si="152"/>
        <v>18.589704</v>
      </c>
      <c r="AD197" s="302">
        <f t="shared" si="152"/>
        <v>19.5191892</v>
      </c>
    </row>
    <row r="198" outlineLevel="1" spans="3:30">
      <c r="C198" s="51" t="s">
        <v>279</v>
      </c>
      <c r="D198" s="181" t="s">
        <v>48</v>
      </c>
      <c r="F198" s="309">
        <f t="shared" ref="F198:L198" si="153">-F105</f>
        <v>169.016</v>
      </c>
      <c r="G198" s="309">
        <f t="shared" si="153"/>
        <v>175.594</v>
      </c>
      <c r="H198" s="309">
        <f t="shared" si="153"/>
        <v>178.133</v>
      </c>
      <c r="I198" s="309">
        <f t="shared" si="153"/>
        <v>176.581</v>
      </c>
      <c r="J198" s="309">
        <f t="shared" si="153"/>
        <v>176.466</v>
      </c>
      <c r="K198" s="309">
        <f t="shared" si="153"/>
        <v>180.115914473542</v>
      </c>
      <c r="L198" s="309">
        <f t="shared" si="153"/>
        <v>188.883617379778</v>
      </c>
      <c r="M198" s="578"/>
      <c r="N198" s="309"/>
      <c r="O198" s="309"/>
      <c r="P198" s="579">
        <f t="shared" si="143"/>
        <v>188.883617379778</v>
      </c>
      <c r="Q198" s="309">
        <f t="shared" ref="Q198:Y198" si="154">-Q105</f>
        <v>211.880398949398</v>
      </c>
      <c r="R198" s="309">
        <f t="shared" si="154"/>
        <v>232.207023331375</v>
      </c>
      <c r="S198" s="309">
        <f t="shared" si="154"/>
        <v>233.715253251949</v>
      </c>
      <c r="T198" s="309">
        <f t="shared" si="154"/>
        <v>245.716143340779</v>
      </c>
      <c r="U198" s="309">
        <f t="shared" si="154"/>
        <v>238.029817633226</v>
      </c>
      <c r="V198" s="309">
        <f t="shared" si="154"/>
        <v>265.059581469969</v>
      </c>
      <c r="W198" s="309">
        <f t="shared" si="154"/>
        <v>266.045034782</v>
      </c>
      <c r="X198" s="309">
        <f t="shared" si="154"/>
        <v>278.417881899998</v>
      </c>
      <c r="Y198" s="309">
        <f t="shared" si="154"/>
        <v>270.106531025886</v>
      </c>
      <c r="AA198" s="302">
        <f t="shared" ref="AA198:AD198" si="155">SUMIF($F$78:$Y$78,AA$78,$F198:$Y198)</f>
        <v>699.324</v>
      </c>
      <c r="AB198" s="302">
        <f t="shared" si="155"/>
        <v>757.345930802718</v>
      </c>
      <c r="AC198" s="302">
        <f t="shared" si="155"/>
        <v>949.668237557328</v>
      </c>
      <c r="AD198" s="302">
        <f t="shared" si="155"/>
        <v>1079.62902917785</v>
      </c>
    </row>
    <row r="199" outlineLevel="1" spans="3:30">
      <c r="C199" s="544" t="s">
        <v>280</v>
      </c>
      <c r="D199" s="545" t="s">
        <v>48</v>
      </c>
      <c r="E199" s="546"/>
      <c r="F199" s="583"/>
      <c r="G199" s="583"/>
      <c r="H199" s="583"/>
      <c r="I199" s="583"/>
      <c r="J199" s="583"/>
      <c r="K199" s="583"/>
      <c r="L199" s="583"/>
      <c r="M199" s="582"/>
      <c r="N199" s="583"/>
      <c r="O199" s="583"/>
      <c r="P199" s="584"/>
      <c r="Q199" s="583">
        <f t="shared" ref="Q199:Y199" si="156">-Q103</f>
        <v>1.07099768625884</v>
      </c>
      <c r="R199" s="583">
        <f t="shared" si="156"/>
        <v>1.07099768625884</v>
      </c>
      <c r="S199" s="583">
        <f t="shared" si="156"/>
        <v>1.07099768625884</v>
      </c>
      <c r="T199" s="583">
        <f t="shared" si="156"/>
        <v>1.07099768625884</v>
      </c>
      <c r="U199" s="583">
        <f t="shared" si="156"/>
        <v>1.07099768625884</v>
      </c>
      <c r="V199" s="583">
        <f t="shared" si="156"/>
        <v>1.07099768625884</v>
      </c>
      <c r="W199" s="583">
        <f t="shared" si="156"/>
        <v>1.07099768625884</v>
      </c>
      <c r="X199" s="583">
        <f t="shared" si="156"/>
        <v>1.07099768625884</v>
      </c>
      <c r="Y199" s="583">
        <f t="shared" si="156"/>
        <v>1.07099768625884</v>
      </c>
      <c r="AA199" s="621">
        <f t="shared" ref="AA199:AD199" si="157">SUMIF($F$78:$Y$78,AA$78,$F199:$Y199)</f>
        <v>0</v>
      </c>
      <c r="AB199" s="621">
        <f t="shared" si="157"/>
        <v>1.07099768625884</v>
      </c>
      <c r="AC199" s="621">
        <f t="shared" si="157"/>
        <v>4.28399074503537</v>
      </c>
      <c r="AD199" s="621">
        <f t="shared" si="157"/>
        <v>4.28399074503537</v>
      </c>
    </row>
    <row r="200" outlineLevel="1" spans="3:30">
      <c r="C200" s="51" t="s">
        <v>281</v>
      </c>
      <c r="D200" s="181" t="s">
        <v>48</v>
      </c>
      <c r="F200" s="309">
        <f t="shared" ref="F200:L200" si="158">-F112</f>
        <v>-1.097</v>
      </c>
      <c r="G200" s="309">
        <f t="shared" si="158"/>
        <v>0</v>
      </c>
      <c r="H200" s="309">
        <f t="shared" si="158"/>
        <v>-169</v>
      </c>
      <c r="I200" s="309">
        <f t="shared" si="158"/>
        <v>0.195</v>
      </c>
      <c r="J200" s="309">
        <f t="shared" si="158"/>
        <v>0.522</v>
      </c>
      <c r="K200" s="309">
        <f t="shared" si="158"/>
        <v>0</v>
      </c>
      <c r="L200" s="309">
        <f t="shared" si="158"/>
        <v>0</v>
      </c>
      <c r="M200" s="578"/>
      <c r="N200" s="309"/>
      <c r="O200" s="309"/>
      <c r="P200" s="579">
        <f t="shared" ref="P200:P203" si="159">+L200</f>
        <v>0</v>
      </c>
      <c r="Q200" s="309">
        <f t="shared" ref="Q200:Y200" si="160">-Q112</f>
        <v>0</v>
      </c>
      <c r="R200" s="309">
        <f t="shared" si="160"/>
        <v>0</v>
      </c>
      <c r="S200" s="309">
        <f t="shared" si="160"/>
        <v>0</v>
      </c>
      <c r="T200" s="309">
        <f t="shared" si="160"/>
        <v>0</v>
      </c>
      <c r="U200" s="309">
        <f t="shared" si="160"/>
        <v>0</v>
      </c>
      <c r="V200" s="309">
        <f t="shared" si="160"/>
        <v>0</v>
      </c>
      <c r="W200" s="309">
        <f t="shared" si="160"/>
        <v>0</v>
      </c>
      <c r="X200" s="309">
        <f t="shared" si="160"/>
        <v>0</v>
      </c>
      <c r="Y200" s="309">
        <f t="shared" si="160"/>
        <v>0</v>
      </c>
      <c r="AA200" s="302">
        <f t="shared" ref="AA200:AD200" si="161">SUMIF($F$78:$Y$78,AA$78,$F200:$Y200)</f>
        <v>-169.902</v>
      </c>
      <c r="AB200" s="302">
        <f t="shared" si="161"/>
        <v>0.522</v>
      </c>
      <c r="AC200" s="302">
        <f t="shared" si="161"/>
        <v>0</v>
      </c>
      <c r="AD200" s="302">
        <f t="shared" si="161"/>
        <v>0</v>
      </c>
    </row>
    <row r="201" outlineLevel="1" spans="3:30">
      <c r="C201" s="51" t="s">
        <v>282</v>
      </c>
      <c r="D201" s="181" t="s">
        <v>48</v>
      </c>
      <c r="F201" s="521">
        <f>+'DLR-Op-Model'!F161</f>
        <v>-1.801</v>
      </c>
      <c r="G201" s="521">
        <f>+'DLR-Op-Model'!G161</f>
        <v>0.379</v>
      </c>
      <c r="H201" s="521">
        <f>+'DLR-Op-Model'!H161</f>
        <v>0.37</v>
      </c>
      <c r="I201" s="521">
        <f>+'DLR-Op-Model'!I161</f>
        <v>-0.114</v>
      </c>
      <c r="J201" s="521">
        <f>+'DLR-Op-Model'!J161</f>
        <v>0.129</v>
      </c>
      <c r="K201" s="627">
        <f>+'DLR-Op-Model'!K161</f>
        <v>-1.89227783875046</v>
      </c>
      <c r="L201" s="627">
        <f>+'DLR-Op-Model'!L161</f>
        <v>0.421277236864695</v>
      </c>
      <c r="M201" s="652"/>
      <c r="N201" s="333"/>
      <c r="O201" s="333"/>
      <c r="P201" s="653">
        <f t="shared" si="159"/>
        <v>0.421277236864695</v>
      </c>
      <c r="Q201" s="309">
        <f>+'DLR-Op-Model'!M161+'DFT-Op-Model'!M153</f>
        <v>0.229880488285452</v>
      </c>
      <c r="R201" s="309">
        <f>+'DLR-Op-Model'!N161+'DFT-Op-Model'!N153</f>
        <v>1.14463112891582</v>
      </c>
      <c r="S201" s="309">
        <f>+'DLR-Op-Model'!O161+'DFT-Op-Model'!O153</f>
        <v>2.17185088884241</v>
      </c>
      <c r="T201" s="309">
        <f>+'DLR-Op-Model'!P161+'DFT-Op-Model'!P153</f>
        <v>-4.71956533955206</v>
      </c>
      <c r="U201" s="309">
        <f>+'DLR-Op-Model'!Q161+'DFT-Op-Model'!Q153</f>
        <v>1.52481290215279</v>
      </c>
      <c r="V201" s="309">
        <f>+'DLR-Op-Model'!R161+'DFT-Op-Model'!R153</f>
        <v>0.27550231683939</v>
      </c>
      <c r="W201" s="309">
        <f>+'DLR-Op-Model'!S161+'DFT-Op-Model'!S153</f>
        <v>1.37110218290495</v>
      </c>
      <c r="X201" s="309">
        <f>+'DLR-Op-Model'!T161+'DFT-Op-Model'!T153</f>
        <v>2.72119300776603</v>
      </c>
      <c r="Y201" s="309">
        <f>+'DLR-Op-Model'!U161+'DFT-Op-Model'!U153</f>
        <v>-5.79192523417506</v>
      </c>
      <c r="AA201" s="302">
        <f t="shared" ref="AA201:AD201" si="162">SUMIF($F$78:$Y$78,AA$78,$F201:$Y201)</f>
        <v>-1.166</v>
      </c>
      <c r="AB201" s="302">
        <f t="shared" si="162"/>
        <v>-1.11212011360032</v>
      </c>
      <c r="AC201" s="302">
        <f t="shared" si="162"/>
        <v>0.121729580358965</v>
      </c>
      <c r="AD201" s="302">
        <f t="shared" si="162"/>
        <v>-1.42412772666469</v>
      </c>
    </row>
    <row r="202" outlineLevel="1" spans="3:30">
      <c r="C202" s="544" t="s">
        <v>283</v>
      </c>
      <c r="D202" s="545" t="s">
        <v>48</v>
      </c>
      <c r="E202" s="546"/>
      <c r="F202" s="641"/>
      <c r="G202" s="641"/>
      <c r="H202" s="641"/>
      <c r="I202" s="641"/>
      <c r="J202" s="641"/>
      <c r="K202" s="654"/>
      <c r="L202" s="654"/>
      <c r="M202" s="655"/>
      <c r="N202" s="656"/>
      <c r="O202" s="656"/>
      <c r="P202" s="657"/>
      <c r="Q202" s="641">
        <f>-'DFT-Op-Model'!M153</f>
        <v>0.16206184063398</v>
      </c>
      <c r="R202" s="641">
        <f>-'DFT-Op-Model'!N153</f>
        <v>-1.26544818086218</v>
      </c>
      <c r="S202" s="641">
        <f>-'DFT-Op-Model'!O153</f>
        <v>-2.03409792358368</v>
      </c>
      <c r="T202" s="641">
        <f>-'DFT-Op-Model'!P153</f>
        <v>2.44740602759358</v>
      </c>
      <c r="U202" s="641">
        <f>-'DFT-Op-Model'!Q153</f>
        <v>-1.05115135790039</v>
      </c>
      <c r="V202" s="641">
        <f>-'DFT-Op-Model'!R153</f>
        <v>0.194212546751336</v>
      </c>
      <c r="W202" s="641">
        <f>-'DFT-Op-Model'!S153</f>
        <v>-1.50231639935757</v>
      </c>
      <c r="X202" s="641">
        <f>-'DFT-Op-Model'!T153</f>
        <v>-2.55364292300706</v>
      </c>
      <c r="Y202" s="641">
        <f>-'DFT-Op-Model'!U153</f>
        <v>3.20318573816114</v>
      </c>
      <c r="AA202" s="621">
        <f t="shared" ref="AA202:AD202" si="163">SUMIF($F$78:$Y$78,AA$78,$F202:$Y202)</f>
        <v>0</v>
      </c>
      <c r="AB202" s="621">
        <f t="shared" si="163"/>
        <v>0.16206184063398</v>
      </c>
      <c r="AC202" s="621">
        <f t="shared" si="163"/>
        <v>-1.90329143475266</v>
      </c>
      <c r="AD202" s="621">
        <f t="shared" si="163"/>
        <v>-0.658561037452148</v>
      </c>
    </row>
    <row r="203" outlineLevel="1" spans="3:30">
      <c r="C203" s="51" t="s">
        <v>284</v>
      </c>
      <c r="D203" s="181" t="s">
        <v>48</v>
      </c>
      <c r="F203" s="521">
        <f>+'DLR-Op-Model'!F162</f>
        <v>-2.266</v>
      </c>
      <c r="G203" s="521">
        <f>+'DLR-Op-Model'!G162</f>
        <v>-1.997</v>
      </c>
      <c r="H203" s="521">
        <f>+'DLR-Op-Model'!H162</f>
        <v>-2.002</v>
      </c>
      <c r="I203" s="521">
        <f>+'DLR-Op-Model'!I162</f>
        <v>-2.048</v>
      </c>
      <c r="J203" s="521">
        <f>+'DLR-Op-Model'!J162</f>
        <v>-1.973</v>
      </c>
      <c r="K203" s="206">
        <f>+'DLR-Op-Model'!K162</f>
        <v>-1.997</v>
      </c>
      <c r="L203" s="206">
        <f>+'DLR-Op-Model'!L162</f>
        <v>-2.002</v>
      </c>
      <c r="M203" s="658"/>
      <c r="N203" s="289"/>
      <c r="O203" s="289"/>
      <c r="P203" s="615">
        <f t="shared" si="159"/>
        <v>-2.002</v>
      </c>
      <c r="Q203" s="302">
        <f>+'DLR-Op-Model'!M162+'DFT-Op-Model'!M154</f>
        <v>-2.139</v>
      </c>
      <c r="R203" s="302">
        <f>+'DLR-Op-Model'!N162+'DFT-Op-Model'!N154</f>
        <v>-2.244</v>
      </c>
      <c r="S203" s="302">
        <f>+'DLR-Op-Model'!O162+'DFT-Op-Model'!O154</f>
        <v>-2.103</v>
      </c>
      <c r="T203" s="302">
        <f>+'DLR-Op-Model'!P162+'DFT-Op-Model'!P154</f>
        <v>-2.1</v>
      </c>
      <c r="U203" s="302">
        <f>+'DLR-Op-Model'!Q162+'DFT-Op-Model'!Q154</f>
        <v>-2.139</v>
      </c>
      <c r="V203" s="302">
        <f>+'DLR-Op-Model'!R162+'DFT-Op-Model'!R154</f>
        <v>-2.244</v>
      </c>
      <c r="W203" s="302">
        <f>+'DLR-Op-Model'!S162+'DFT-Op-Model'!S154</f>
        <v>-2.103</v>
      </c>
      <c r="X203" s="302">
        <f>+'DLR-Op-Model'!T162+'DFT-Op-Model'!T154</f>
        <v>-2.1</v>
      </c>
      <c r="Y203" s="302">
        <f>+'DLR-Op-Model'!U162+'DFT-Op-Model'!U154</f>
        <v>-2.139</v>
      </c>
      <c r="AA203" s="302">
        <f t="shared" ref="AA203:AD203" si="164">SUMIF($F$78:$Y$78,AA$78,$F203:$Y203)</f>
        <v>-8.313</v>
      </c>
      <c r="AB203" s="302">
        <f t="shared" si="164"/>
        <v>-8.111</v>
      </c>
      <c r="AC203" s="302">
        <f t="shared" si="164"/>
        <v>-8.586</v>
      </c>
      <c r="AD203" s="302">
        <f t="shared" si="164"/>
        <v>-8.586</v>
      </c>
    </row>
    <row r="204" outlineLevel="1" spans="3:30">
      <c r="C204" s="538" t="s">
        <v>285</v>
      </c>
      <c r="D204" s="523" t="s">
        <v>48</v>
      </c>
      <c r="E204" s="539"/>
      <c r="F204" s="642"/>
      <c r="G204" s="642"/>
      <c r="H204" s="642"/>
      <c r="I204" s="642"/>
      <c r="J204" s="642"/>
      <c r="K204" s="642"/>
      <c r="L204" s="642"/>
      <c r="M204" s="659"/>
      <c r="N204" s="642"/>
      <c r="O204" s="642"/>
      <c r="P204" s="660"/>
      <c r="Q204" s="642">
        <f t="shared" ref="Q204:Y204" si="165">-Q88</f>
        <v>10.078033591125</v>
      </c>
      <c r="R204" s="642">
        <f t="shared" si="165"/>
        <v>10.078033591125</v>
      </c>
      <c r="S204" s="642">
        <f t="shared" si="165"/>
        <v>10.078033591125</v>
      </c>
      <c r="T204" s="642">
        <f t="shared" si="165"/>
        <v>10.078033591125</v>
      </c>
      <c r="U204" s="642">
        <f t="shared" si="165"/>
        <v>10.078033591125</v>
      </c>
      <c r="V204" s="642">
        <f t="shared" si="165"/>
        <v>10.078033591125</v>
      </c>
      <c r="W204" s="642">
        <f t="shared" si="165"/>
        <v>10.078033591125</v>
      </c>
      <c r="X204" s="642">
        <f t="shared" si="165"/>
        <v>10.078033591125</v>
      </c>
      <c r="Y204" s="642">
        <f t="shared" si="165"/>
        <v>10.078033591125</v>
      </c>
      <c r="AA204" s="562">
        <f t="shared" ref="AA204:AD204" si="166">SUMIF($F$78:$Y$78,AA$78,$F204:$Y204)</f>
        <v>0</v>
      </c>
      <c r="AB204" s="562">
        <f t="shared" si="166"/>
        <v>10.078033591125</v>
      </c>
      <c r="AC204" s="562">
        <f t="shared" si="166"/>
        <v>40.3121343645</v>
      </c>
      <c r="AD204" s="562">
        <f t="shared" si="166"/>
        <v>40.3121343645</v>
      </c>
    </row>
    <row r="205" outlineLevel="1" spans="3:30">
      <c r="C205" s="643" t="s">
        <v>286</v>
      </c>
      <c r="D205" s="533" t="s">
        <v>48</v>
      </c>
      <c r="E205" s="644"/>
      <c r="F205" s="645"/>
      <c r="G205" s="645"/>
      <c r="H205" s="645"/>
      <c r="I205" s="645"/>
      <c r="J205" s="645"/>
      <c r="K205" s="645"/>
      <c r="L205" s="645"/>
      <c r="M205" s="661"/>
      <c r="N205" s="645"/>
      <c r="O205" s="645"/>
      <c r="P205" s="662"/>
      <c r="Q205" s="645">
        <f t="shared" ref="Q205:Y205" si="167">-Q89</f>
        <v>-3.83925089185714</v>
      </c>
      <c r="R205" s="645">
        <f t="shared" si="167"/>
        <v>-3.83925089185714</v>
      </c>
      <c r="S205" s="645">
        <f t="shared" si="167"/>
        <v>-3.83925089185714</v>
      </c>
      <c r="T205" s="645">
        <f t="shared" si="167"/>
        <v>-3.83925089185714</v>
      </c>
      <c r="U205" s="645">
        <f t="shared" si="167"/>
        <v>-3.83925089185714</v>
      </c>
      <c r="V205" s="645">
        <f t="shared" si="167"/>
        <v>-3.83925089185714</v>
      </c>
      <c r="W205" s="645">
        <f t="shared" si="167"/>
        <v>-3.83925089185714</v>
      </c>
      <c r="X205" s="645">
        <f t="shared" si="167"/>
        <v>-3.83925089185714</v>
      </c>
      <c r="Y205" s="645">
        <f t="shared" si="167"/>
        <v>-3.83925089185714</v>
      </c>
      <c r="AA205" s="572">
        <f t="shared" ref="AA205:AD205" si="168">SUMIF($F$78:$Y$78,AA$78,$F205:$Y205)</f>
        <v>0</v>
      </c>
      <c r="AB205" s="572">
        <f t="shared" si="168"/>
        <v>-3.83925089185714</v>
      </c>
      <c r="AC205" s="572">
        <f t="shared" si="168"/>
        <v>-15.3570035674286</v>
      </c>
      <c r="AD205" s="572">
        <f t="shared" si="168"/>
        <v>-15.3570035674286</v>
      </c>
    </row>
    <row r="206" outlineLevel="1" spans="3:30">
      <c r="C206" s="541" t="s">
        <v>287</v>
      </c>
      <c r="D206" s="527" t="s">
        <v>48</v>
      </c>
      <c r="E206" s="542"/>
      <c r="F206" s="646"/>
      <c r="G206" s="646"/>
      <c r="H206" s="646"/>
      <c r="I206" s="646"/>
      <c r="J206" s="646"/>
      <c r="K206" s="646"/>
      <c r="L206" s="646"/>
      <c r="M206" s="663"/>
      <c r="N206" s="646"/>
      <c r="O206" s="646"/>
      <c r="P206" s="664"/>
      <c r="Q206" s="646">
        <f t="shared" ref="Q206:Y206" si="169">-Q102</f>
        <v>28.3904411489766</v>
      </c>
      <c r="R206" s="646">
        <f t="shared" si="169"/>
        <v>28.3904411489766</v>
      </c>
      <c r="S206" s="646">
        <f t="shared" si="169"/>
        <v>28.3904411489766</v>
      </c>
      <c r="T206" s="646">
        <f t="shared" si="169"/>
        <v>28.3904411489766</v>
      </c>
      <c r="U206" s="646">
        <f t="shared" si="169"/>
        <v>28.3904411489766</v>
      </c>
      <c r="V206" s="646">
        <f t="shared" si="169"/>
        <v>28.3904411489766</v>
      </c>
      <c r="W206" s="646">
        <f t="shared" si="169"/>
        <v>28.3904411489766</v>
      </c>
      <c r="X206" s="646">
        <f t="shared" si="169"/>
        <v>28.3904411489766</v>
      </c>
      <c r="Y206" s="646">
        <f t="shared" si="169"/>
        <v>28.3904411489766</v>
      </c>
      <c r="AA206" s="565">
        <f t="shared" ref="AA206:AD206" si="170">SUMIF($F$78:$Y$78,AA$78,$F206:$Y206)</f>
        <v>0</v>
      </c>
      <c r="AB206" s="565">
        <f t="shared" si="170"/>
        <v>28.3904411489766</v>
      </c>
      <c r="AC206" s="565">
        <f t="shared" si="170"/>
        <v>113.561764595907</v>
      </c>
      <c r="AD206" s="565">
        <f t="shared" si="170"/>
        <v>113.561764595907</v>
      </c>
    </row>
    <row r="207" outlineLevel="1" spans="3:30">
      <c r="C207" s="51" t="s">
        <v>288</v>
      </c>
      <c r="D207" s="181" t="s">
        <v>48</v>
      </c>
      <c r="F207" s="521">
        <f>+'DLR-Op-Model'!F163</f>
        <v>0</v>
      </c>
      <c r="G207" s="521">
        <f>+'DLR-Op-Model'!G163</f>
        <v>0</v>
      </c>
      <c r="H207" s="521">
        <f>+'DLR-Op-Model'!H163</f>
        <v>0</v>
      </c>
      <c r="I207" s="521">
        <f>+'DLR-Op-Model'!I163</f>
        <v>0</v>
      </c>
      <c r="J207" s="521">
        <f>+'DLR-Op-Model'!J163</f>
        <v>0</v>
      </c>
      <c r="K207" s="206">
        <f>+'DLR-Op-Model'!K163</f>
        <v>0</v>
      </c>
      <c r="L207" s="206">
        <f>+'DLR-Op-Model'!L163</f>
        <v>0</v>
      </c>
      <c r="M207" s="658"/>
      <c r="N207" s="289"/>
      <c r="O207" s="289"/>
      <c r="P207" s="615">
        <f t="shared" ref="P207:P209" si="171">+L207</f>
        <v>0</v>
      </c>
      <c r="Q207" s="289">
        <f>+'DLR-Op-Model'!M163+'DFT-Op-Model'!M155</f>
        <v>0</v>
      </c>
      <c r="R207" s="289">
        <f>+'DLR-Op-Model'!N163+'DFT-Op-Model'!N155</f>
        <v>0</v>
      </c>
      <c r="S207" s="289">
        <f>+'DLR-Op-Model'!O163+'DFT-Op-Model'!O155</f>
        <v>0</v>
      </c>
      <c r="T207" s="289">
        <f>+'DLR-Op-Model'!P163+'DFT-Op-Model'!P155</f>
        <v>0</v>
      </c>
      <c r="U207" s="289">
        <f>+'DLR-Op-Model'!Q163+'DFT-Op-Model'!Q155</f>
        <v>0</v>
      </c>
      <c r="V207" s="289">
        <f>+'DLR-Op-Model'!R163+'DFT-Op-Model'!R155</f>
        <v>0</v>
      </c>
      <c r="W207" s="289">
        <f>+'DLR-Op-Model'!S163+'DFT-Op-Model'!S155</f>
        <v>0</v>
      </c>
      <c r="X207" s="289">
        <f>+'DLR-Op-Model'!T163+'DFT-Op-Model'!T155</f>
        <v>0</v>
      </c>
      <c r="Y207" s="289">
        <f>+'DLR-Op-Model'!U163+'DFT-Op-Model'!U155</f>
        <v>0</v>
      </c>
      <c r="AA207" s="302">
        <f t="shared" ref="AA207:AD207" si="172">SUMIF($F$78:$Y$78,AA$78,$F207:$Y207)</f>
        <v>0</v>
      </c>
      <c r="AB207" s="302">
        <f t="shared" si="172"/>
        <v>0</v>
      </c>
      <c r="AC207" s="302">
        <f t="shared" si="172"/>
        <v>0</v>
      </c>
      <c r="AD207" s="302">
        <f t="shared" si="172"/>
        <v>0</v>
      </c>
    </row>
    <row r="208" outlineLevel="1" spans="3:30">
      <c r="C208" s="51" t="s">
        <v>289</v>
      </c>
      <c r="D208" s="181" t="s">
        <v>48</v>
      </c>
      <c r="F208" s="521">
        <f>+'DLR-Op-Model'!F164</f>
        <v>7.9549999999999</v>
      </c>
      <c r="G208" s="521">
        <f>+'DLR-Op-Model'!G164</f>
        <v>9.64800000000003</v>
      </c>
      <c r="H208" s="521">
        <f>+'DLR-Op-Model'!H164</f>
        <v>21.498</v>
      </c>
      <c r="I208" s="521">
        <f>+'DLR-Op-Model'!I164</f>
        <v>-6.93899999999994</v>
      </c>
      <c r="J208" s="521">
        <f>+'DLR-Op-Model'!J164</f>
        <v>6.00100000000002</v>
      </c>
      <c r="K208" s="206">
        <f>+'DLR-Op-Model'!K164</f>
        <v>7.6326</v>
      </c>
      <c r="L208" s="206">
        <f>+'DLR-Op-Model'!L164</f>
        <v>7.6326</v>
      </c>
      <c r="M208" s="658"/>
      <c r="N208" s="289"/>
      <c r="O208" s="289"/>
      <c r="P208" s="615">
        <f t="shared" si="171"/>
        <v>7.6326</v>
      </c>
      <c r="Q208" s="289">
        <f>+'DLR-Op-Model'!M164+'DFT-Op-Model'!M156</f>
        <v>10.3666</v>
      </c>
      <c r="R208" s="289">
        <f>+'DLR-Op-Model'!N164+'DFT-Op-Model'!N156</f>
        <v>10.3666</v>
      </c>
      <c r="S208" s="289">
        <f>+'DLR-Op-Model'!O164+'DFT-Op-Model'!O156</f>
        <v>10.3666</v>
      </c>
      <c r="T208" s="289">
        <f>+'DLR-Op-Model'!P164+'DFT-Op-Model'!P156</f>
        <v>10.3666</v>
      </c>
      <c r="U208" s="289">
        <f>+'DLR-Op-Model'!Q164+'DFT-Op-Model'!Q156</f>
        <v>10.3666</v>
      </c>
      <c r="V208" s="289">
        <f>+'DLR-Op-Model'!R164+'DFT-Op-Model'!R156</f>
        <v>10.3666</v>
      </c>
      <c r="W208" s="289">
        <f>+'DLR-Op-Model'!S164+'DFT-Op-Model'!S156</f>
        <v>10.3666</v>
      </c>
      <c r="X208" s="289">
        <f>+'DLR-Op-Model'!T164+'DFT-Op-Model'!T156</f>
        <v>10.3666</v>
      </c>
      <c r="Y208" s="289">
        <f>+'DLR-Op-Model'!U164+'DFT-Op-Model'!U156</f>
        <v>10.3666</v>
      </c>
      <c r="AA208" s="302">
        <f t="shared" ref="AA208:AD208" si="173">SUMIF($F$78:$Y$78,AA$78,$F208:$Y208)</f>
        <v>32.162</v>
      </c>
      <c r="AB208" s="302">
        <f t="shared" si="173"/>
        <v>31.6328</v>
      </c>
      <c r="AC208" s="302">
        <f t="shared" si="173"/>
        <v>41.4664</v>
      </c>
      <c r="AD208" s="302">
        <f t="shared" si="173"/>
        <v>41.4664</v>
      </c>
    </row>
    <row r="209" outlineLevel="1" spans="3:30">
      <c r="C209" s="51" t="s">
        <v>290</v>
      </c>
      <c r="D209" s="200" t="s">
        <v>48</v>
      </c>
      <c r="F209" s="521">
        <f>+'DLR-Op-Model'!F165</f>
        <v>-53.6</v>
      </c>
      <c r="G209" s="521">
        <f>+'DLR-Op-Model'!G165</f>
        <v>-18.963</v>
      </c>
      <c r="H209" s="521">
        <f>+'DLR-Op-Model'!H165</f>
        <v>-10.581</v>
      </c>
      <c r="I209" s="521">
        <f>+'DLR-Op-Model'!I165</f>
        <v>38.342</v>
      </c>
      <c r="J209" s="521">
        <f>+'DLR-Op-Model'!J165</f>
        <v>-45.778</v>
      </c>
      <c r="K209" s="665">
        <f>+'DLR-Op-Model'!K165</f>
        <v>-48.960932389851</v>
      </c>
      <c r="L209" s="665">
        <f>+'DLR-Op-Model'!L165</f>
        <v>41.0299956988835</v>
      </c>
      <c r="M209" s="666"/>
      <c r="N209" s="667"/>
      <c r="O209" s="667"/>
      <c r="P209" s="668">
        <f t="shared" si="171"/>
        <v>41.0299956988835</v>
      </c>
      <c r="Q209" s="667">
        <f t="shared" ref="Q209:Y209" si="174">+P165-Q165+P171-Q171+Q177-P177+Q178-P178</f>
        <v>120.568162032046</v>
      </c>
      <c r="R209" s="667">
        <f t="shared" si="174"/>
        <v>-17.533841033771</v>
      </c>
      <c r="S209" s="667">
        <f t="shared" si="174"/>
        <v>-50.4056424570854</v>
      </c>
      <c r="T209" s="667">
        <f t="shared" si="174"/>
        <v>32.0449223809765</v>
      </c>
      <c r="U209" s="667">
        <f t="shared" si="174"/>
        <v>138.328117378533</v>
      </c>
      <c r="V209" s="667">
        <f t="shared" si="174"/>
        <v>0.386776064514038</v>
      </c>
      <c r="W209" s="667">
        <f t="shared" si="174"/>
        <v>-59.0293365022344</v>
      </c>
      <c r="X209" s="667">
        <f t="shared" si="174"/>
        <v>30.6584139187663</v>
      </c>
      <c r="Y209" s="667">
        <f t="shared" si="174"/>
        <v>157.733843938373</v>
      </c>
      <c r="AA209" s="302">
        <f t="shared" ref="AA209:AD209" si="175">SUMIF($F$78:$Y$78,AA$78,$F209:$Y209)</f>
        <v>-44.802</v>
      </c>
      <c r="AB209" s="302">
        <f t="shared" si="175"/>
        <v>66.8592253410789</v>
      </c>
      <c r="AC209" s="302">
        <f t="shared" si="175"/>
        <v>102.433556268653</v>
      </c>
      <c r="AD209" s="302">
        <f t="shared" si="175"/>
        <v>129.749697419418</v>
      </c>
    </row>
    <row r="210" outlineLevel="1" spans="3:30">
      <c r="C210" s="189" t="s">
        <v>274</v>
      </c>
      <c r="D210" s="181" t="s">
        <v>48</v>
      </c>
      <c r="E210" s="212"/>
      <c r="F210" s="276">
        <f t="shared" ref="F210:L210" si="176">SUM(F194:F209)</f>
        <v>158.153</v>
      </c>
      <c r="G210" s="276">
        <f t="shared" si="176"/>
        <v>193.502</v>
      </c>
      <c r="H210" s="276">
        <f t="shared" si="176"/>
        <v>208.853</v>
      </c>
      <c r="I210" s="276">
        <f t="shared" si="176"/>
        <v>284.199</v>
      </c>
      <c r="J210" s="276">
        <f t="shared" si="176"/>
        <v>201.661</v>
      </c>
      <c r="K210" s="209">
        <f t="shared" si="176"/>
        <v>178.728431609694</v>
      </c>
      <c r="L210" s="209">
        <f t="shared" si="176"/>
        <v>283.374951447558</v>
      </c>
      <c r="M210" s="623"/>
      <c r="N210" s="209"/>
      <c r="O210" s="209"/>
      <c r="P210" s="586">
        <f t="shared" ref="P210:Y210" si="177">SUM(P194:P209)</f>
        <v>283.374951447558</v>
      </c>
      <c r="Q210" s="326">
        <f t="shared" si="177"/>
        <v>443.527663050977</v>
      </c>
      <c r="R210" s="326">
        <f t="shared" si="177"/>
        <v>338.068602230081</v>
      </c>
      <c r="S210" s="326">
        <f t="shared" si="177"/>
        <v>281.373327182779</v>
      </c>
      <c r="T210" s="326">
        <f t="shared" si="177"/>
        <v>386.020368239734</v>
      </c>
      <c r="U210" s="326">
        <f t="shared" si="177"/>
        <v>513.267080842462</v>
      </c>
      <c r="V210" s="326">
        <f t="shared" si="177"/>
        <v>416.081984888995</v>
      </c>
      <c r="W210" s="326">
        <f t="shared" si="177"/>
        <v>330.055540106486</v>
      </c>
      <c r="X210" s="326">
        <f t="shared" si="177"/>
        <v>443.71471167011</v>
      </c>
      <c r="Y210" s="326">
        <f t="shared" si="177"/>
        <v>582.203821888801</v>
      </c>
      <c r="AA210" s="325">
        <f t="shared" ref="AA210:AD210" si="178">SUM(AA194:AA209)</f>
        <v>844.707</v>
      </c>
      <c r="AB210" s="325">
        <f t="shared" si="178"/>
        <v>1107.29204610823</v>
      </c>
      <c r="AC210" s="325">
        <f t="shared" si="178"/>
        <v>1518.72937849506</v>
      </c>
      <c r="AD210" s="325">
        <f t="shared" si="178"/>
        <v>1772.05605855439</v>
      </c>
    </row>
    <row r="211" outlineLevel="1" spans="13:16">
      <c r="M211" s="576"/>
      <c r="P211" s="577"/>
    </row>
    <row r="212" outlineLevel="1" spans="3:16">
      <c r="C212" s="193" t="s">
        <v>291</v>
      </c>
      <c r="M212" s="576"/>
      <c r="P212" s="577"/>
    </row>
    <row r="213" outlineLevel="1" spans="3:30">
      <c r="C213" s="51" t="s">
        <v>292</v>
      </c>
      <c r="D213" s="181" t="s">
        <v>48</v>
      </c>
      <c r="F213" s="211">
        <f>+'DLR-Op-Model'!F169</f>
        <v>-21.064</v>
      </c>
      <c r="G213" s="211">
        <f>+'DLR-Op-Model'!G169</f>
        <v>-17.914</v>
      </c>
      <c r="H213" s="211">
        <f>+'DLR-Op-Model'!H169</f>
        <v>-15.252</v>
      </c>
      <c r="I213" s="211">
        <f>+'DLR-Op-Model'!I169</f>
        <v>-21.246</v>
      </c>
      <c r="J213" s="211">
        <f>+'DLR-Op-Model'!J169</f>
        <v>-29.588</v>
      </c>
      <c r="K213" s="669">
        <f>+'DLR-Op-Model'!K169</f>
        <v>-18.4295262732644</v>
      </c>
      <c r="L213" s="669">
        <f>+'DLR-Op-Model'!L169</f>
        <v>-15.9801743213522</v>
      </c>
      <c r="M213" s="670"/>
      <c r="N213" s="336"/>
      <c r="O213" s="336"/>
      <c r="P213" s="558">
        <f t="shared" ref="P213:P217" si="179">+L213</f>
        <v>-15.9801743213522</v>
      </c>
      <c r="Q213" s="301">
        <f>+'DLR-Op-Model'!M169+'DFT-Op-Model'!M161</f>
        <v>-22.2981677294308</v>
      </c>
      <c r="R213" s="301">
        <f>+'DLR-Op-Model'!N169+'DFT-Op-Model'!N161</f>
        <v>-35.3385120361149</v>
      </c>
      <c r="S213" s="301">
        <f>+'DLR-Op-Model'!O169+'DFT-Op-Model'!O161</f>
        <v>-21.7745122057468</v>
      </c>
      <c r="T213" s="301">
        <f>+'DLR-Op-Model'!P169+'DFT-Op-Model'!P161</f>
        <v>-18.9838647226504</v>
      </c>
      <c r="U213" s="301">
        <f>+'DLR-Op-Model'!Q169+'DFT-Op-Model'!Q161</f>
        <v>-24.8698885311098</v>
      </c>
      <c r="V213" s="301">
        <f>+'DLR-Op-Model'!R169+'DFT-Op-Model'!R161</f>
        <v>-40.2124622361684</v>
      </c>
      <c r="W213" s="301">
        <f>+'DLR-Op-Model'!S169+'DFT-Op-Model'!S161</f>
        <v>-24.6710568115026</v>
      </c>
      <c r="X213" s="301">
        <f>+'DLR-Op-Model'!T169+'DFT-Op-Model'!T161</f>
        <v>-21.4162405146661</v>
      </c>
      <c r="Y213" s="301">
        <f>+'DLR-Op-Model'!U169+'DFT-Op-Model'!U161</f>
        <v>-28.0691688461454</v>
      </c>
      <c r="AA213" s="301">
        <f t="shared" ref="AA213:AD213" si="180">SUMIF($F$78:$Y$78,AA$78,$F213:$Y213)</f>
        <v>-75.476</v>
      </c>
      <c r="AB213" s="301">
        <f t="shared" si="180"/>
        <v>-86.2958683240475</v>
      </c>
      <c r="AC213" s="301">
        <f t="shared" si="180"/>
        <v>-100.966777495622</v>
      </c>
      <c r="AD213" s="301">
        <f t="shared" si="180"/>
        <v>-114.368928408483</v>
      </c>
    </row>
    <row r="214" outlineLevel="1" spans="3:30">
      <c r="C214" s="51" t="s">
        <v>293</v>
      </c>
      <c r="D214" s="181" t="s">
        <v>48</v>
      </c>
      <c r="F214" s="521">
        <f>+'DLR-Op-Model'!F170</f>
        <v>-4.719</v>
      </c>
      <c r="G214" s="521">
        <f>+'DLR-Op-Model'!G170</f>
        <v>-4.132</v>
      </c>
      <c r="H214" s="521">
        <f>+'DLR-Op-Model'!H170</f>
        <v>-4.581</v>
      </c>
      <c r="I214" s="521">
        <f>+'DLR-Op-Model'!I170</f>
        <v>-5.479</v>
      </c>
      <c r="J214" s="521">
        <f>+'DLR-Op-Model'!J170</f>
        <v>-4.127</v>
      </c>
      <c r="K214" s="521">
        <f>+'DLR-Op-Model'!K170</f>
        <v>-4.25091004583726</v>
      </c>
      <c r="L214" s="521">
        <f>+'DLR-Op-Model'!L170</f>
        <v>-4.79971010792779</v>
      </c>
      <c r="M214" s="559"/>
      <c r="N214" s="302"/>
      <c r="O214" s="302"/>
      <c r="P214" s="560">
        <f t="shared" si="179"/>
        <v>-4.79971010792779</v>
      </c>
      <c r="Q214" s="302">
        <f>+'DLR-Op-Model'!M170+'DFT-Op-Model'!M162</f>
        <v>-6.15178856932607</v>
      </c>
      <c r="R214" s="302">
        <f>+'DLR-Op-Model'!N170+'DFT-Op-Model'!N162</f>
        <v>-6.73829837292808</v>
      </c>
      <c r="S214" s="302">
        <f>+'DLR-Op-Model'!O170+'DFT-Op-Model'!O162</f>
        <v>-5.54345504059923</v>
      </c>
      <c r="T214" s="302">
        <f>+'DLR-Op-Model'!P170+'DFT-Op-Model'!P162</f>
        <v>-6.03380279047589</v>
      </c>
      <c r="U214" s="302">
        <f>+'DLR-Op-Model'!Q170+'DFT-Op-Model'!Q162</f>
        <v>-6.88967875177774</v>
      </c>
      <c r="V214" s="302">
        <f>+'DLR-Op-Model'!R170+'DFT-Op-Model'!R162</f>
        <v>-7.74846928803005</v>
      </c>
      <c r="W214" s="302">
        <f>+'DLR-Op-Model'!S170+'DFT-Op-Model'!S162</f>
        <v>-6.31176757928367</v>
      </c>
      <c r="X214" s="302">
        <f>+'DLR-Op-Model'!T170+'DFT-Op-Model'!T162</f>
        <v>-6.82586710220922</v>
      </c>
      <c r="Y214" s="302">
        <f>+'DLR-Op-Model'!U170+'DFT-Op-Model'!U162</f>
        <v>-7.80011038756659</v>
      </c>
      <c r="AA214" s="302">
        <f t="shared" ref="AA214:AD214" si="181">SUMIF($F$78:$Y$78,AA$78,$F214:$Y214)</f>
        <v>-18.911</v>
      </c>
      <c r="AB214" s="302">
        <f t="shared" si="181"/>
        <v>-19.3294087230911</v>
      </c>
      <c r="AC214" s="302">
        <f t="shared" si="181"/>
        <v>-25.2052349557809</v>
      </c>
      <c r="AD214" s="302">
        <f t="shared" si="181"/>
        <v>-28.6862143570895</v>
      </c>
    </row>
    <row r="215" outlineLevel="1" spans="3:30">
      <c r="C215" s="51" t="s">
        <v>294</v>
      </c>
      <c r="D215" s="181" t="s">
        <v>48</v>
      </c>
      <c r="F215" s="521">
        <f>+'DLR-Op-Model'!F171</f>
        <v>-169.017</v>
      </c>
      <c r="G215" s="521">
        <f>+'DLR-Op-Model'!G171</f>
        <v>-130.554</v>
      </c>
      <c r="H215" s="521">
        <f>+'DLR-Op-Model'!H171</f>
        <v>-1063.267</v>
      </c>
      <c r="I215" s="521">
        <f>+'DLR-Op-Model'!I171</f>
        <v>-846.575</v>
      </c>
      <c r="J215" s="521">
        <f>+'DLR-Op-Model'!J171</f>
        <v>-239.285</v>
      </c>
      <c r="K215" s="521">
        <f>+'DLR-Op-Model'!K171</f>
        <v>-180</v>
      </c>
      <c r="L215" s="521">
        <f>+'DLR-Op-Model'!L171</f>
        <v>-180</v>
      </c>
      <c r="M215" s="559"/>
      <c r="N215" s="302"/>
      <c r="O215" s="302"/>
      <c r="P215" s="560">
        <f t="shared" si="179"/>
        <v>-180</v>
      </c>
      <c r="Q215" s="302">
        <f>+'DLR-Op-Model'!M171+'DFT-Op-Model'!M163</f>
        <v>-270</v>
      </c>
      <c r="R215" s="302">
        <f>+'DLR-Op-Model'!N171+'DFT-Op-Model'!N163</f>
        <v>-280</v>
      </c>
      <c r="S215" s="302">
        <f>+'DLR-Op-Model'!O171+'DFT-Op-Model'!O163</f>
        <v>-280</v>
      </c>
      <c r="T215" s="302">
        <f>+'DLR-Op-Model'!P171+'DFT-Op-Model'!P163</f>
        <v>-290</v>
      </c>
      <c r="U215" s="302">
        <f>+'DLR-Op-Model'!Q171+'DFT-Op-Model'!Q163</f>
        <v>-295</v>
      </c>
      <c r="V215" s="302">
        <f>+'DLR-Op-Model'!R171+'DFT-Op-Model'!R163</f>
        <v>-310</v>
      </c>
      <c r="W215" s="302">
        <f>+'DLR-Op-Model'!S171+'DFT-Op-Model'!S163</f>
        <v>-315</v>
      </c>
      <c r="X215" s="302">
        <f>+'DLR-Op-Model'!T171+'DFT-Op-Model'!T163</f>
        <v>-315</v>
      </c>
      <c r="Y215" s="302">
        <f>+'DLR-Op-Model'!U171+'DFT-Op-Model'!U163</f>
        <v>-320</v>
      </c>
      <c r="AA215" s="302">
        <f t="shared" ref="AA215:AD215" si="182">SUMIF($F$78:$Y$78,AA$78,$F215:$Y215)</f>
        <v>-2209.413</v>
      </c>
      <c r="AB215" s="302">
        <f t="shared" si="182"/>
        <v>-869.285</v>
      </c>
      <c r="AC215" s="302">
        <f t="shared" si="182"/>
        <v>-1145</v>
      </c>
      <c r="AD215" s="302">
        <f t="shared" si="182"/>
        <v>-1260</v>
      </c>
    </row>
    <row r="216" outlineLevel="1" spans="3:30">
      <c r="C216" s="51" t="s">
        <v>295</v>
      </c>
      <c r="D216" s="181" t="s">
        <v>48</v>
      </c>
      <c r="F216" s="521">
        <f>+'DLR-Op-Model'!F172</f>
        <v>35.769</v>
      </c>
      <c r="G216" s="521">
        <f>+'DLR-Op-Model'!G172</f>
        <v>0</v>
      </c>
      <c r="H216" s="521">
        <f>+'DLR-Op-Model'!H172</f>
        <v>323.55</v>
      </c>
      <c r="I216" s="521">
        <f>+'DLR-Op-Model'!I172</f>
        <v>656.266</v>
      </c>
      <c r="J216" s="521">
        <f>+'DLR-Op-Model'!J172</f>
        <v>0</v>
      </c>
      <c r="K216" s="206">
        <f>+'DLR-Op-Model'!K172</f>
        <v>0</v>
      </c>
      <c r="L216" s="206">
        <f>+'DLR-Op-Model'!L172</f>
        <v>0</v>
      </c>
      <c r="M216" s="658"/>
      <c r="N216" s="289"/>
      <c r="O216" s="289"/>
      <c r="P216" s="615">
        <f t="shared" si="179"/>
        <v>0</v>
      </c>
      <c r="Q216" s="289">
        <f>+'DLR-Op-Model'!M172+'DFT-Op-Model'!M164</f>
        <v>0</v>
      </c>
      <c r="R216" s="289">
        <f>+'DLR-Op-Model'!N172+'DFT-Op-Model'!N164</f>
        <v>0</v>
      </c>
      <c r="S216" s="289">
        <f>+'DLR-Op-Model'!O172+'DFT-Op-Model'!O164</f>
        <v>0</v>
      </c>
      <c r="T216" s="289">
        <f>+'DLR-Op-Model'!P172+'DFT-Op-Model'!P164</f>
        <v>0</v>
      </c>
      <c r="U216" s="289">
        <f>+'DLR-Op-Model'!Q172+'DFT-Op-Model'!Q164</f>
        <v>0</v>
      </c>
      <c r="V216" s="289">
        <f>+'DLR-Op-Model'!R172+'DFT-Op-Model'!R164</f>
        <v>0</v>
      </c>
      <c r="W216" s="289">
        <f>+'DLR-Op-Model'!S172+'DFT-Op-Model'!S164</f>
        <v>0</v>
      </c>
      <c r="X216" s="289">
        <f>+'DLR-Op-Model'!T172+'DFT-Op-Model'!T164</f>
        <v>0</v>
      </c>
      <c r="Y216" s="289">
        <f>+'DLR-Op-Model'!U172+'DFT-Op-Model'!U164</f>
        <v>0</v>
      </c>
      <c r="AA216" s="302">
        <f t="shared" ref="AA216:AD216" si="183">SUMIF($F$78:$Y$78,AA$78,$F216:$Y216)</f>
        <v>1015.585</v>
      </c>
      <c r="AB216" s="302">
        <f t="shared" si="183"/>
        <v>0</v>
      </c>
      <c r="AC216" s="302">
        <f t="shared" si="183"/>
        <v>0</v>
      </c>
      <c r="AD216" s="302">
        <f t="shared" si="183"/>
        <v>0</v>
      </c>
    </row>
    <row r="217" outlineLevel="1" spans="3:30">
      <c r="C217" s="51" t="s">
        <v>289</v>
      </c>
      <c r="D217" s="200" t="s">
        <v>48</v>
      </c>
      <c r="F217" s="521">
        <f>+'DLR-Op-Model'!F173</f>
        <v>4.95</v>
      </c>
      <c r="G217" s="521">
        <f>+'DLR-Op-Model'!G173</f>
        <v>7.695</v>
      </c>
      <c r="H217" s="521">
        <f>+'DLR-Op-Model'!H173</f>
        <v>-15.789</v>
      </c>
      <c r="I217" s="521">
        <f>+'DLR-Op-Model'!I173</f>
        <v>-12.2</v>
      </c>
      <c r="J217" s="521">
        <f>+'DLR-Op-Model'!J173</f>
        <v>57.498</v>
      </c>
      <c r="K217" s="665">
        <f>+'DLR-Op-Model'!K173</f>
        <v>8.4308</v>
      </c>
      <c r="L217" s="665">
        <f>+'DLR-Op-Model'!L173</f>
        <v>8.4308</v>
      </c>
      <c r="M217" s="580"/>
      <c r="N217" s="311"/>
      <c r="O217" s="311"/>
      <c r="P217" s="581">
        <f t="shared" si="179"/>
        <v>8.4308</v>
      </c>
      <c r="Q217" s="311">
        <f>+'DLR-Op-Model'!M173+'DFT-Op-Model'!M165</f>
        <v>5.277</v>
      </c>
      <c r="R217" s="311">
        <f>+'DLR-Op-Model'!N173+'DFT-Op-Model'!N165</f>
        <v>5.277</v>
      </c>
      <c r="S217" s="311">
        <f>+'DLR-Op-Model'!O173+'DFT-Op-Model'!O165</f>
        <v>5.277</v>
      </c>
      <c r="T217" s="311">
        <f>+'DLR-Op-Model'!P173+'DFT-Op-Model'!P165</f>
        <v>5.277</v>
      </c>
      <c r="U217" s="311">
        <f>+'DLR-Op-Model'!Q173+'DFT-Op-Model'!Q165</f>
        <v>5.277</v>
      </c>
      <c r="V217" s="311">
        <f>+'DLR-Op-Model'!R173+'DFT-Op-Model'!R165</f>
        <v>5.277</v>
      </c>
      <c r="W217" s="311">
        <f>+'DLR-Op-Model'!S173+'DFT-Op-Model'!S165</f>
        <v>5.277</v>
      </c>
      <c r="X217" s="311">
        <f>+'DLR-Op-Model'!T173+'DFT-Op-Model'!T165</f>
        <v>5.277</v>
      </c>
      <c r="Y217" s="311">
        <f>+'DLR-Op-Model'!U173+'DFT-Op-Model'!U165</f>
        <v>5.277</v>
      </c>
      <c r="AA217" s="302">
        <f t="shared" ref="AA217:AD217" si="184">SUMIF($F$78:$Y$78,AA$78,$F217:$Y217)</f>
        <v>-15.344</v>
      </c>
      <c r="AB217" s="302">
        <f t="shared" si="184"/>
        <v>79.6366</v>
      </c>
      <c r="AC217" s="302">
        <f t="shared" si="184"/>
        <v>21.108</v>
      </c>
      <c r="AD217" s="302">
        <f t="shared" si="184"/>
        <v>21.108</v>
      </c>
    </row>
    <row r="218" outlineLevel="1" spans="3:30">
      <c r="C218" s="189" t="s">
        <v>291</v>
      </c>
      <c r="D218" s="181" t="s">
        <v>48</v>
      </c>
      <c r="E218" s="212"/>
      <c r="F218" s="276">
        <f t="shared" ref="F218:L218" si="185">SUM(F213:F217)</f>
        <v>-154.081</v>
      </c>
      <c r="G218" s="276">
        <f t="shared" si="185"/>
        <v>-144.905</v>
      </c>
      <c r="H218" s="276">
        <f t="shared" si="185"/>
        <v>-775.339</v>
      </c>
      <c r="I218" s="276">
        <f t="shared" si="185"/>
        <v>-229.234</v>
      </c>
      <c r="J218" s="276">
        <f t="shared" si="185"/>
        <v>-215.502</v>
      </c>
      <c r="K218" s="209">
        <f t="shared" si="185"/>
        <v>-194.249636319102</v>
      </c>
      <c r="L218" s="209">
        <f t="shared" si="185"/>
        <v>-192.34908442928</v>
      </c>
      <c r="M218" s="623"/>
      <c r="N218" s="209"/>
      <c r="O218" s="209"/>
      <c r="P218" s="586">
        <f t="shared" ref="P218:Y218" si="186">SUM(P213:P217)</f>
        <v>-192.34908442928</v>
      </c>
      <c r="Q218" s="326">
        <f t="shared" si="186"/>
        <v>-293.172956298757</v>
      </c>
      <c r="R218" s="326">
        <f t="shared" si="186"/>
        <v>-316.799810409043</v>
      </c>
      <c r="S218" s="326">
        <f t="shared" si="186"/>
        <v>-302.040967246346</v>
      </c>
      <c r="T218" s="326">
        <f t="shared" si="186"/>
        <v>-309.740667513126</v>
      </c>
      <c r="U218" s="326">
        <f t="shared" si="186"/>
        <v>-321.482567282888</v>
      </c>
      <c r="V218" s="326">
        <f t="shared" si="186"/>
        <v>-352.683931524198</v>
      </c>
      <c r="W218" s="326">
        <f t="shared" si="186"/>
        <v>-340.705824390786</v>
      </c>
      <c r="X218" s="326">
        <f t="shared" si="186"/>
        <v>-337.965107616875</v>
      </c>
      <c r="Y218" s="326">
        <f t="shared" si="186"/>
        <v>-350.592279233712</v>
      </c>
      <c r="AA218" s="325">
        <f t="shared" ref="AA218:AD218" si="187">SUM(AA213:AA217)</f>
        <v>-1303.559</v>
      </c>
      <c r="AB218" s="325">
        <f t="shared" si="187"/>
        <v>-895.273677047139</v>
      </c>
      <c r="AC218" s="325">
        <f t="shared" si="187"/>
        <v>-1250.0640124514</v>
      </c>
      <c r="AD218" s="325">
        <f t="shared" si="187"/>
        <v>-1381.94714276557</v>
      </c>
    </row>
    <row r="219" outlineLevel="1" spans="13:30">
      <c r="M219" s="576"/>
      <c r="P219" s="577"/>
      <c r="AA219" s="322"/>
      <c r="AB219" s="322"/>
      <c r="AC219" s="322"/>
      <c r="AD219" s="322"/>
    </row>
    <row r="220" outlineLevel="1" spans="3:30">
      <c r="C220" s="193" t="s">
        <v>296</v>
      </c>
      <c r="M220" s="576"/>
      <c r="P220" s="577"/>
      <c r="AA220" s="322"/>
      <c r="AB220" s="322"/>
      <c r="AC220" s="322"/>
      <c r="AD220" s="322"/>
    </row>
    <row r="221" outlineLevel="1" spans="3:30">
      <c r="C221" s="51" t="s">
        <v>297</v>
      </c>
      <c r="D221" s="181" t="s">
        <v>48</v>
      </c>
      <c r="F221" s="211">
        <f>+'DLR-Op-Model'!F177</f>
        <v>254.594</v>
      </c>
      <c r="G221" s="211">
        <f>+'DLR-Op-Model'!G177</f>
        <v>86.7</v>
      </c>
      <c r="H221" s="211">
        <f>+'DLR-Op-Model'!H177</f>
        <v>-92.4360000000001</v>
      </c>
      <c r="I221" s="211">
        <f>+'DLR-Op-Model'!I177</f>
        <v>-52.259</v>
      </c>
      <c r="J221" s="211">
        <f>+'DLR-Op-Model'!J177</f>
        <v>307.124</v>
      </c>
      <c r="K221" s="669">
        <f>+'DLR-Op-Model'!K177</f>
        <v>216.327900081619</v>
      </c>
      <c r="L221" s="669">
        <f>+'DLR-Op-Model'!L177</f>
        <v>82.7420491388415</v>
      </c>
      <c r="M221" s="670"/>
      <c r="N221" s="336"/>
      <c r="O221" s="336"/>
      <c r="P221" s="558">
        <f t="shared" ref="P221:P225" si="188">+L221</f>
        <v>82.7420491388415</v>
      </c>
      <c r="Q221" s="301">
        <f>+'DLR-Op-Model'!M177+'DFT-Op-Model'!M169</f>
        <v>35.6481240400143</v>
      </c>
      <c r="R221" s="301">
        <f>+'DLR-Op-Model'!N177+'DFT-Op-Model'!N169</f>
        <v>216.364062173174</v>
      </c>
      <c r="S221" s="301">
        <f>+'DLR-Op-Model'!O177+'DFT-Op-Model'!O169</f>
        <v>220.20441857949</v>
      </c>
      <c r="T221" s="301">
        <f>+'DLR-Op-Model'!P177+'DFT-Op-Model'!P169</f>
        <v>157.571796879961</v>
      </c>
      <c r="U221" s="301">
        <f>+'DLR-Op-Model'!Q177+'DFT-Op-Model'!Q169</f>
        <v>29.1380982987202</v>
      </c>
      <c r="V221" s="301">
        <f>+'DLR-Op-Model'!R177+'DFT-Op-Model'!R169</f>
        <v>221.567027587762</v>
      </c>
      <c r="W221" s="301">
        <f>+'DLR-Op-Model'!S177+'DFT-Op-Model'!S169</f>
        <v>246.689225829918</v>
      </c>
      <c r="X221" s="301">
        <f>+'DLR-Op-Model'!T177+'DFT-Op-Model'!T169</f>
        <v>166.181599543116</v>
      </c>
      <c r="Y221" s="301">
        <f>+'DLR-Op-Model'!U177+'DFT-Op-Model'!U169</f>
        <v>27.8216189862002</v>
      </c>
      <c r="AA221" s="301">
        <f t="shared" ref="AA221:AD221" si="189">SUMIF($F$78:$Y$78,AA$78,$F221:$Y221)</f>
        <v>196.599</v>
      </c>
      <c r="AB221" s="301">
        <f t="shared" si="189"/>
        <v>641.842073260475</v>
      </c>
      <c r="AC221" s="301">
        <f t="shared" si="189"/>
        <v>623.278375931346</v>
      </c>
      <c r="AD221" s="301">
        <f t="shared" si="189"/>
        <v>662.259471946997</v>
      </c>
    </row>
    <row r="222" outlineLevel="1" spans="3:30">
      <c r="C222" s="51" t="s">
        <v>298</v>
      </c>
      <c r="D222" s="181" t="s">
        <v>48</v>
      </c>
      <c r="F222" s="521">
        <f>+'DLR-Op-Model'!F178</f>
        <v>0</v>
      </c>
      <c r="G222" s="521">
        <f>+'DLR-Op-Model'!G178</f>
        <v>0</v>
      </c>
      <c r="H222" s="521">
        <f>+'DLR-Op-Model'!H178</f>
        <v>-287.5</v>
      </c>
      <c r="I222" s="521">
        <f>+'DLR-Op-Model'!I178</f>
        <v>0</v>
      </c>
      <c r="J222" s="521">
        <f>+'DLR-Op-Model'!J178</f>
        <v>0</v>
      </c>
      <c r="K222" s="206">
        <f>+'DLR-Op-Model'!K178</f>
        <v>0</v>
      </c>
      <c r="L222" s="206">
        <f>+'DLR-Op-Model'!L178</f>
        <v>0</v>
      </c>
      <c r="M222" s="658"/>
      <c r="N222" s="289"/>
      <c r="O222" s="289"/>
      <c r="P222" s="615">
        <f t="shared" si="188"/>
        <v>0</v>
      </c>
      <c r="Q222" s="289">
        <f>+'DLR-Op-Model'!M178+'DFT-Op-Model'!M170</f>
        <v>0</v>
      </c>
      <c r="R222" s="289">
        <f>+'DLR-Op-Model'!N178+'DFT-Op-Model'!N170</f>
        <v>0</v>
      </c>
      <c r="S222" s="289">
        <f>+'DLR-Op-Model'!O178+'DFT-Op-Model'!O170</f>
        <v>0</v>
      </c>
      <c r="T222" s="289">
        <f>+'DLR-Op-Model'!P178+'DFT-Op-Model'!P170</f>
        <v>0</v>
      </c>
      <c r="U222" s="289">
        <f>+'DLR-Op-Model'!Q178+'DFT-Op-Model'!Q170</f>
        <v>0</v>
      </c>
      <c r="V222" s="289">
        <f>+'DLR-Op-Model'!R178+'DFT-Op-Model'!R170</f>
        <v>0</v>
      </c>
      <c r="W222" s="289">
        <f>+'DLR-Op-Model'!S178+'DFT-Op-Model'!S170</f>
        <v>0</v>
      </c>
      <c r="X222" s="289">
        <f>+'DLR-Op-Model'!T178+'DFT-Op-Model'!T170</f>
        <v>0</v>
      </c>
      <c r="Y222" s="289">
        <f>+'DLR-Op-Model'!U178+'DFT-Op-Model'!U170</f>
        <v>0</v>
      </c>
      <c r="AA222" s="302">
        <f t="shared" ref="AA222:AD222" si="190">SUMIF($F$78:$Y$78,AA$78,$F222:$Y222)</f>
        <v>-287.5</v>
      </c>
      <c r="AB222" s="302">
        <f t="shared" si="190"/>
        <v>0</v>
      </c>
      <c r="AC222" s="302">
        <f t="shared" si="190"/>
        <v>0</v>
      </c>
      <c r="AD222" s="302">
        <f t="shared" si="190"/>
        <v>0</v>
      </c>
    </row>
    <row r="223" outlineLevel="1" spans="3:30">
      <c r="C223" s="51" t="s">
        <v>299</v>
      </c>
      <c r="D223" s="181" t="s">
        <v>48</v>
      </c>
      <c r="F223" s="521">
        <f>+'DLR-Op-Model'!F179</f>
        <v>1.805</v>
      </c>
      <c r="G223" s="521">
        <f>+'DLR-Op-Model'!G179</f>
        <v>0.108</v>
      </c>
      <c r="H223" s="521">
        <f>+'DLR-Op-Model'!H179</f>
        <v>1088.907</v>
      </c>
      <c r="I223" s="521">
        <f>+'DLR-Op-Model'!I179</f>
        <v>-0.6</v>
      </c>
      <c r="J223" s="521">
        <f>+'DLR-Op-Model'!J179</f>
        <v>2.724</v>
      </c>
      <c r="K223" s="206">
        <f>+'DLR-Op-Model'!K179</f>
        <v>24.0364333424021</v>
      </c>
      <c r="L223" s="206">
        <f>+'DLR-Op-Model'!L179</f>
        <v>9.19356101542683</v>
      </c>
      <c r="M223" s="658"/>
      <c r="N223" s="289"/>
      <c r="O223" s="289"/>
      <c r="P223" s="615">
        <f t="shared" si="188"/>
        <v>9.19356101542683</v>
      </c>
      <c r="Q223" s="289">
        <f>+'DLR-Op-Model'!M179+'DFT-Op-Model'!M171</f>
        <v>3.9609026711127</v>
      </c>
      <c r="R223" s="289">
        <f>+'DLR-Op-Model'!N179+'DFT-Op-Model'!N171</f>
        <v>24.0404513525749</v>
      </c>
      <c r="S223" s="289">
        <f>+'DLR-Op-Model'!O179+'DFT-Op-Model'!O171</f>
        <v>24.4671576199434</v>
      </c>
      <c r="T223" s="289">
        <f>+'DLR-Op-Model'!P179+'DFT-Op-Model'!P171</f>
        <v>17.5079774311068</v>
      </c>
      <c r="U223" s="289">
        <f>+'DLR-Op-Model'!Q179+'DFT-Op-Model'!Q171</f>
        <v>3.23756647763558</v>
      </c>
      <c r="V223" s="289">
        <f>+'DLR-Op-Model'!R179+'DFT-Op-Model'!R171</f>
        <v>24.6185586208624</v>
      </c>
      <c r="W223" s="289">
        <f>+'DLR-Op-Model'!S179+'DFT-Op-Model'!S171</f>
        <v>27.409913981102</v>
      </c>
      <c r="X223" s="289">
        <f>+'DLR-Op-Model'!T179+'DFT-Op-Model'!T171</f>
        <v>18.4646221714573</v>
      </c>
      <c r="Y223" s="289">
        <f>+'DLR-Op-Model'!U179+'DFT-Op-Model'!U171</f>
        <v>3.09129099846669</v>
      </c>
      <c r="AA223" s="302">
        <f t="shared" ref="AA223:AD223" si="191">SUMIF($F$78:$Y$78,AA$78,$F223:$Y223)</f>
        <v>1090.22</v>
      </c>
      <c r="AB223" s="302">
        <f t="shared" si="191"/>
        <v>39.9148970289417</v>
      </c>
      <c r="AC223" s="302">
        <f t="shared" si="191"/>
        <v>69.2531528812607</v>
      </c>
      <c r="AD223" s="302">
        <f t="shared" si="191"/>
        <v>73.5843857718885</v>
      </c>
    </row>
    <row r="224" outlineLevel="1" spans="3:30">
      <c r="C224" s="51" t="s">
        <v>300</v>
      </c>
      <c r="D224" s="181" t="s">
        <v>48</v>
      </c>
      <c r="F224" s="521">
        <f>+'DLR-Op-Model'!F180</f>
        <v>-258.5</v>
      </c>
      <c r="G224" s="521">
        <f>+'DLR-Op-Model'!G180</f>
        <v>-131.5</v>
      </c>
      <c r="H224" s="521">
        <f>+'DLR-Op-Model'!H180</f>
        <v>-131.6</v>
      </c>
      <c r="I224" s="521">
        <f>+'DLR-Op-Model'!I180</f>
        <v>0</v>
      </c>
      <c r="J224" s="521">
        <f>+'DLR-Op-Model'!J180</f>
        <v>-295.1</v>
      </c>
      <c r="K224" s="206">
        <f>+'DLR-Op-Model'!K180</f>
        <v>-144.101201880328</v>
      </c>
      <c r="L224" s="206">
        <f>+'DLR-Op-Model'!L180</f>
        <v>-157.634693452665</v>
      </c>
      <c r="M224" s="671"/>
      <c r="N224" s="274"/>
      <c r="O224" s="274"/>
      <c r="P224" s="672">
        <f t="shared" si="188"/>
        <v>-157.634693452665</v>
      </c>
      <c r="Q224" s="274">
        <f>+'DLR-Op-Model'!M180+'DFT-Op-Model'!M172</f>
        <v>-44.2617268856685</v>
      </c>
      <c r="R224" s="274">
        <f>+'DLR-Op-Model'!N180+'DFT-Op-Model'!N172</f>
        <v>-373.026766708162</v>
      </c>
      <c r="S224" s="274">
        <f>+'DLR-Op-Model'!O180+'DFT-Op-Model'!O172</f>
        <v>-212.589299854642</v>
      </c>
      <c r="T224" s="274">
        <f>+'DLR-Op-Model'!P180+'DFT-Op-Model'!P172</f>
        <v>-220.072664715127</v>
      </c>
      <c r="U224" s="274">
        <f>+'DLR-Op-Model'!Q180+'DFT-Op-Model'!Q172</f>
        <v>-53.730906258709</v>
      </c>
      <c r="V224" s="274">
        <f>+'DLR-Op-Model'!R180+'DFT-Op-Model'!R172</f>
        <v>-424.634593409793</v>
      </c>
      <c r="W224" s="274">
        <f>+'DLR-Op-Model'!S180+'DFT-Op-Model'!S172</f>
        <v>-243.895444400603</v>
      </c>
      <c r="X224" s="274">
        <f>+'DLR-Op-Model'!T180+'DFT-Op-Model'!T172</f>
        <v>-254.355317773505</v>
      </c>
      <c r="Y224" s="274">
        <f>+'DLR-Op-Model'!U180+'DFT-Op-Model'!U172</f>
        <v>-61.4927096803536</v>
      </c>
      <c r="AA224" s="302">
        <f t="shared" ref="AA224:AD224" si="192">SUMIF($F$78:$Y$78,AA$78,$F224:$Y224)</f>
        <v>-521.6</v>
      </c>
      <c r="AB224" s="302">
        <f t="shared" si="192"/>
        <v>-641.097622218662</v>
      </c>
      <c r="AC224" s="302">
        <f t="shared" si="192"/>
        <v>-859.41963753664</v>
      </c>
      <c r="AD224" s="302">
        <f t="shared" si="192"/>
        <v>-984.378065264255</v>
      </c>
    </row>
    <row r="225" outlineLevel="1" spans="3:30">
      <c r="C225" s="51" t="s">
        <v>301</v>
      </c>
      <c r="D225" s="200" t="s">
        <v>48</v>
      </c>
      <c r="F225" s="521">
        <f>+'DLR-Op-Model'!F181</f>
        <v>-26.3</v>
      </c>
      <c r="G225" s="521">
        <f>+'DLR-Op-Model'!G181</f>
        <v>-3.1</v>
      </c>
      <c r="H225" s="521">
        <f>+'DLR-Op-Model'!H181</f>
        <v>-14.293</v>
      </c>
      <c r="I225" s="521">
        <f>+'DLR-Op-Model'!I181</f>
        <v>-28.2</v>
      </c>
      <c r="J225" s="521">
        <f>+'DLR-Op-Model'!J181</f>
        <v>2.454</v>
      </c>
      <c r="K225" s="665">
        <f>+'DLR-Op-Model'!K181</f>
        <v>-13.8878</v>
      </c>
      <c r="L225" s="665">
        <f>+'DLR-Op-Model'!L181</f>
        <v>-13.8878</v>
      </c>
      <c r="M225" s="580"/>
      <c r="N225" s="311"/>
      <c r="O225" s="311"/>
      <c r="P225" s="581">
        <f t="shared" si="188"/>
        <v>-13.8878</v>
      </c>
      <c r="Q225" s="311">
        <f>+'DLR-Op-Model'!M181+'DFT-Op-Model'!M173</f>
        <v>-19.4266</v>
      </c>
      <c r="R225" s="311">
        <f>+'DLR-Op-Model'!N181+'DFT-Op-Model'!N173</f>
        <v>-19.4266</v>
      </c>
      <c r="S225" s="311">
        <f>+'DLR-Op-Model'!O181+'DFT-Op-Model'!O173</f>
        <v>-19.4266</v>
      </c>
      <c r="T225" s="311">
        <f>+'DLR-Op-Model'!P181+'DFT-Op-Model'!P173</f>
        <v>-19.4266</v>
      </c>
      <c r="U225" s="311">
        <f>+'DLR-Op-Model'!Q181+'DFT-Op-Model'!Q173</f>
        <v>-19.4266</v>
      </c>
      <c r="V225" s="311">
        <f>+'DLR-Op-Model'!R181+'DFT-Op-Model'!R173</f>
        <v>-19.4266</v>
      </c>
      <c r="W225" s="311">
        <f>+'DLR-Op-Model'!S181+'DFT-Op-Model'!S173</f>
        <v>-19.4266</v>
      </c>
      <c r="X225" s="311">
        <f>+'DLR-Op-Model'!T181+'DFT-Op-Model'!T173</f>
        <v>-19.4266</v>
      </c>
      <c r="Y225" s="311">
        <f>+'DLR-Op-Model'!U181+'DFT-Op-Model'!U173</f>
        <v>-19.4266</v>
      </c>
      <c r="AA225" s="302">
        <f t="shared" ref="AA225:AD225" si="193">SUMIF($F$78:$Y$78,AA$78,$F225:$Y225)</f>
        <v>-71.893</v>
      </c>
      <c r="AB225" s="302">
        <f t="shared" si="193"/>
        <v>-44.7482</v>
      </c>
      <c r="AC225" s="302">
        <f t="shared" si="193"/>
        <v>-77.7064</v>
      </c>
      <c r="AD225" s="302">
        <f t="shared" si="193"/>
        <v>-77.7064</v>
      </c>
    </row>
    <row r="226" outlineLevel="1" spans="3:30">
      <c r="C226" s="189" t="s">
        <v>296</v>
      </c>
      <c r="D226" s="181" t="s">
        <v>48</v>
      </c>
      <c r="E226" s="212"/>
      <c r="F226" s="276">
        <f t="shared" ref="F226:L226" si="194">SUM(F221:F225)</f>
        <v>-28.401</v>
      </c>
      <c r="G226" s="276">
        <f t="shared" si="194"/>
        <v>-47.792</v>
      </c>
      <c r="H226" s="276">
        <f t="shared" si="194"/>
        <v>563.078</v>
      </c>
      <c r="I226" s="276">
        <f t="shared" si="194"/>
        <v>-81.059</v>
      </c>
      <c r="J226" s="276">
        <f t="shared" si="194"/>
        <v>17.202</v>
      </c>
      <c r="K226" s="209">
        <f t="shared" si="194"/>
        <v>82.3753315436933</v>
      </c>
      <c r="L226" s="209">
        <f t="shared" si="194"/>
        <v>-79.5868832983967</v>
      </c>
      <c r="M226" s="623"/>
      <c r="N226" s="209"/>
      <c r="O226" s="209"/>
      <c r="P226" s="586">
        <f t="shared" ref="P226:Y226" si="195">SUM(P221:P225)</f>
        <v>-79.5868832983967</v>
      </c>
      <c r="Q226" s="326">
        <f t="shared" si="195"/>
        <v>-24.0793001745415</v>
      </c>
      <c r="R226" s="326">
        <f t="shared" si="195"/>
        <v>-152.048853182413</v>
      </c>
      <c r="S226" s="326">
        <f t="shared" si="195"/>
        <v>12.6556763447913</v>
      </c>
      <c r="T226" s="326">
        <f t="shared" si="195"/>
        <v>-64.4194904040585</v>
      </c>
      <c r="U226" s="326">
        <f t="shared" si="195"/>
        <v>-40.7818414823532</v>
      </c>
      <c r="V226" s="326">
        <f t="shared" si="195"/>
        <v>-197.875607201168</v>
      </c>
      <c r="W226" s="326">
        <f t="shared" si="195"/>
        <v>10.7770954104168</v>
      </c>
      <c r="X226" s="326">
        <f t="shared" si="195"/>
        <v>-89.1356960589319</v>
      </c>
      <c r="Y226" s="326">
        <f t="shared" si="195"/>
        <v>-50.0063996956868</v>
      </c>
      <c r="AA226" s="325">
        <f t="shared" ref="AA226:AD226" si="196">SUM(AA221:AA225)</f>
        <v>405.826</v>
      </c>
      <c r="AB226" s="325">
        <f t="shared" si="196"/>
        <v>-4.08885192924494</v>
      </c>
      <c r="AC226" s="325">
        <f t="shared" si="196"/>
        <v>-244.594508724033</v>
      </c>
      <c r="AD226" s="325">
        <f t="shared" si="196"/>
        <v>-326.24060754537</v>
      </c>
    </row>
    <row r="227" outlineLevel="1" spans="13:30">
      <c r="M227" s="576"/>
      <c r="P227" s="577"/>
      <c r="AA227" s="322"/>
      <c r="AB227" s="322"/>
      <c r="AC227" s="322"/>
      <c r="AD227" s="322"/>
    </row>
    <row r="228" outlineLevel="1" spans="3:30">
      <c r="C228" s="51" t="s">
        <v>302</v>
      </c>
      <c r="D228" s="181" t="s">
        <v>48</v>
      </c>
      <c r="F228" s="274">
        <f t="shared" ref="F228:L228" si="197">+F210+F218+F226</f>
        <v>-24.3290000000001</v>
      </c>
      <c r="G228" s="274">
        <f t="shared" si="197"/>
        <v>0.804999999999986</v>
      </c>
      <c r="H228" s="274">
        <f t="shared" si="197"/>
        <v>-3.40800000000047</v>
      </c>
      <c r="I228" s="274">
        <f t="shared" si="197"/>
        <v>-26.094</v>
      </c>
      <c r="J228" s="274">
        <f t="shared" si="197"/>
        <v>3.36099999999995</v>
      </c>
      <c r="K228" s="274">
        <f t="shared" si="197"/>
        <v>66.8541268342858</v>
      </c>
      <c r="L228" s="274">
        <f t="shared" si="197"/>
        <v>11.4389837198813</v>
      </c>
      <c r="M228" s="671"/>
      <c r="N228" s="274"/>
      <c r="O228" s="274"/>
      <c r="P228" s="672"/>
      <c r="Q228" s="309">
        <f t="shared" ref="Q228:Y228" si="198">+Q210+Q218+Q226</f>
        <v>126.275406577679</v>
      </c>
      <c r="R228" s="309">
        <f t="shared" si="198"/>
        <v>-130.780061361374</v>
      </c>
      <c r="S228" s="309">
        <f t="shared" si="198"/>
        <v>-8.01196371877558</v>
      </c>
      <c r="T228" s="309">
        <f t="shared" si="198"/>
        <v>11.8602103225495</v>
      </c>
      <c r="U228" s="309">
        <f t="shared" si="198"/>
        <v>151.002672077221</v>
      </c>
      <c r="V228" s="309">
        <f t="shared" si="198"/>
        <v>-134.477553836372</v>
      </c>
      <c r="W228" s="309">
        <f t="shared" si="198"/>
        <v>0.126811126116305</v>
      </c>
      <c r="X228" s="309">
        <f t="shared" si="198"/>
        <v>16.6139079943028</v>
      </c>
      <c r="Y228" s="309">
        <f t="shared" si="198"/>
        <v>181.605142959402</v>
      </c>
      <c r="AA228" s="289">
        <f t="shared" ref="AA228:AD228" si="199">+AA210+AA218+AA226</f>
        <v>-53.0260000000007</v>
      </c>
      <c r="AB228" s="289">
        <f t="shared" si="199"/>
        <v>207.929517131846</v>
      </c>
      <c r="AC228" s="289">
        <f t="shared" si="199"/>
        <v>24.0708573196206</v>
      </c>
      <c r="AD228" s="289">
        <f t="shared" si="199"/>
        <v>63.8683082434499</v>
      </c>
    </row>
    <row r="229" outlineLevel="1" spans="3:30">
      <c r="C229" s="51" t="s">
        <v>303</v>
      </c>
      <c r="D229" s="181" t="s">
        <v>48</v>
      </c>
      <c r="F229" s="206">
        <f>'DLR-Op-Model'!F185</f>
        <v>75.062</v>
      </c>
      <c r="G229" s="274">
        <f t="shared" ref="G229:L229" si="200">+F230</f>
        <v>50.7329999999999</v>
      </c>
      <c r="H229" s="274">
        <f t="shared" si="200"/>
        <v>51.5379999999999</v>
      </c>
      <c r="I229" s="274">
        <f t="shared" si="200"/>
        <v>48.1299999999995</v>
      </c>
      <c r="J229" s="274">
        <f t="shared" si="200"/>
        <v>22.0359999999995</v>
      </c>
      <c r="K229" s="274">
        <f t="shared" si="200"/>
        <v>25.3969999999995</v>
      </c>
      <c r="L229" s="274">
        <f t="shared" si="200"/>
        <v>92.2511268342852</v>
      </c>
      <c r="M229" s="671"/>
      <c r="N229" s="274"/>
      <c r="O229" s="274"/>
      <c r="P229" s="672"/>
      <c r="Q229" s="309">
        <f>+P164</f>
        <v>125.987971928149</v>
      </c>
      <c r="R229" s="309">
        <f t="shared" ref="R229:Y229" si="201">+Q230</f>
        <v>252.263378505828</v>
      </c>
      <c r="S229" s="309">
        <f t="shared" si="201"/>
        <v>121.483317144454</v>
      </c>
      <c r="T229" s="309">
        <f t="shared" si="201"/>
        <v>113.471353425678</v>
      </c>
      <c r="U229" s="309">
        <f t="shared" si="201"/>
        <v>125.331563748228</v>
      </c>
      <c r="V229" s="309">
        <f t="shared" si="201"/>
        <v>276.334235825449</v>
      </c>
      <c r="W229" s="309">
        <f t="shared" si="201"/>
        <v>141.856681989077</v>
      </c>
      <c r="X229" s="309">
        <f t="shared" si="201"/>
        <v>141.983493115193</v>
      </c>
      <c r="Y229" s="309">
        <f t="shared" si="201"/>
        <v>158.597401109496</v>
      </c>
      <c r="AA229" s="289">
        <f>+F229</f>
        <v>75.062</v>
      </c>
      <c r="AB229" s="289">
        <f t="shared" ref="AB229:AD229" si="202">+AA230</f>
        <v>22.0359999999992</v>
      </c>
      <c r="AC229" s="289">
        <f t="shared" si="202"/>
        <v>229.965517131845</v>
      </c>
      <c r="AD229" s="289">
        <f t="shared" si="202"/>
        <v>254.036374451466</v>
      </c>
    </row>
    <row r="230" outlineLevel="1" spans="3:30">
      <c r="C230" s="189" t="s">
        <v>304</v>
      </c>
      <c r="D230" s="190" t="s">
        <v>48</v>
      </c>
      <c r="E230" s="212"/>
      <c r="F230" s="332">
        <f t="shared" ref="F230:L230" si="203">SUM(F228:F229)</f>
        <v>50.7329999999999</v>
      </c>
      <c r="G230" s="332">
        <f t="shared" si="203"/>
        <v>51.5379999999999</v>
      </c>
      <c r="H230" s="332">
        <f t="shared" si="203"/>
        <v>48.1299999999995</v>
      </c>
      <c r="I230" s="332">
        <f t="shared" si="203"/>
        <v>22.0359999999995</v>
      </c>
      <c r="J230" s="332">
        <f t="shared" si="203"/>
        <v>25.3969999999995</v>
      </c>
      <c r="K230" s="332">
        <f t="shared" si="203"/>
        <v>92.2511268342852</v>
      </c>
      <c r="L230" s="332">
        <f t="shared" si="203"/>
        <v>103.690110554167</v>
      </c>
      <c r="M230" s="673"/>
      <c r="N230" s="332"/>
      <c r="O230" s="332"/>
      <c r="P230" s="674"/>
      <c r="Q230" s="276">
        <f t="shared" ref="Q230:Y230" si="204">SUM(Q228:Q229)</f>
        <v>252.263378505828</v>
      </c>
      <c r="R230" s="276">
        <f t="shared" si="204"/>
        <v>121.483317144454</v>
      </c>
      <c r="S230" s="276">
        <f t="shared" si="204"/>
        <v>113.471353425678</v>
      </c>
      <c r="T230" s="276">
        <f t="shared" si="204"/>
        <v>125.331563748228</v>
      </c>
      <c r="U230" s="276">
        <f t="shared" si="204"/>
        <v>276.334235825449</v>
      </c>
      <c r="V230" s="276">
        <f t="shared" si="204"/>
        <v>141.856681989077</v>
      </c>
      <c r="W230" s="276">
        <f t="shared" si="204"/>
        <v>141.983493115193</v>
      </c>
      <c r="X230" s="276">
        <f t="shared" si="204"/>
        <v>158.597401109496</v>
      </c>
      <c r="Y230" s="276">
        <f t="shared" si="204"/>
        <v>340.202544068898</v>
      </c>
      <c r="AA230" s="342">
        <f t="shared" ref="AA230:AD230" si="205">SUM(AA228:AA229)</f>
        <v>22.0359999999992</v>
      </c>
      <c r="AB230" s="342">
        <f t="shared" si="205"/>
        <v>229.965517131845</v>
      </c>
      <c r="AC230" s="342">
        <f t="shared" si="205"/>
        <v>254.036374451466</v>
      </c>
      <c r="AD230" s="342">
        <f t="shared" si="205"/>
        <v>317.904682694915</v>
      </c>
    </row>
    <row r="232" spans="2:30">
      <c r="B232" s="254"/>
      <c r="C232" s="254"/>
      <c r="D232" s="255"/>
      <c r="E232" s="256"/>
      <c r="F232" s="257" t="str">
        <f>$F$82</f>
        <v>Historical:</v>
      </c>
      <c r="G232" s="257"/>
      <c r="H232" s="257"/>
      <c r="I232" s="257"/>
      <c r="J232" s="296"/>
      <c r="K232" s="297" t="str">
        <f>$K$82</f>
        <v>Projected:</v>
      </c>
      <c r="L232" s="257"/>
      <c r="M232" s="297" t="str">
        <f>$M$82</f>
        <v>Transaction Adjustments:</v>
      </c>
      <c r="N232" s="257"/>
      <c r="O232" s="257"/>
      <c r="P232" s="296"/>
      <c r="Q232" s="257" t="str">
        <f>$Q$82</f>
        <v>Projected:</v>
      </c>
      <c r="R232" s="257"/>
      <c r="S232" s="257"/>
      <c r="T232" s="257"/>
      <c r="U232" s="257"/>
      <c r="V232" s="257"/>
      <c r="W232" s="257"/>
      <c r="X232" s="257"/>
      <c r="Y232" s="257"/>
      <c r="AA232" s="257" t="str">
        <f>$AA$82</f>
        <v>Historical:</v>
      </c>
      <c r="AB232" s="297" t="str">
        <f>$AB$82</f>
        <v>Projected:</v>
      </c>
      <c r="AC232" s="257"/>
      <c r="AD232" s="257"/>
    </row>
    <row r="233" spans="2:30">
      <c r="B233" s="173" t="s">
        <v>305</v>
      </c>
      <c r="C233" s="173"/>
      <c r="D233" s="174" t="str">
        <f>+$D$5</f>
        <v>Units:</v>
      </c>
      <c r="E233" s="175"/>
      <c r="F233" s="258">
        <f>$F$83</f>
        <v>42460</v>
      </c>
      <c r="G233" s="259">
        <f>$G$83</f>
        <v>42551</v>
      </c>
      <c r="H233" s="260">
        <f>$H$83</f>
        <v>42643</v>
      </c>
      <c r="I233" s="298">
        <f>$I$83</f>
        <v>42735</v>
      </c>
      <c r="J233" s="258">
        <f>$J$83</f>
        <v>42825</v>
      </c>
      <c r="K233" s="299">
        <f>$K$83</f>
        <v>42916</v>
      </c>
      <c r="L233" s="260">
        <f>$L$83</f>
        <v>43008</v>
      </c>
      <c r="M233" s="550" t="str">
        <f>$M$83</f>
        <v>Seller</v>
      </c>
      <c r="N233" s="260" t="str">
        <f>$N$83</f>
        <v>Debit</v>
      </c>
      <c r="O233" s="260" t="str">
        <f>$O$83</f>
        <v>Credit</v>
      </c>
      <c r="P233" s="551">
        <f>$P$83</f>
        <v>43008</v>
      </c>
      <c r="Q233" s="298">
        <f>$Q$83</f>
        <v>43100</v>
      </c>
      <c r="R233" s="258">
        <f>$R$83</f>
        <v>43190</v>
      </c>
      <c r="S233" s="259">
        <f>$S$83</f>
        <v>43281</v>
      </c>
      <c r="T233" s="260">
        <f>$T$83</f>
        <v>43373</v>
      </c>
      <c r="U233" s="298">
        <f>$U$83</f>
        <v>43465</v>
      </c>
      <c r="V233" s="258">
        <f>$V$83</f>
        <v>43555</v>
      </c>
      <c r="W233" s="259">
        <f>$W$83</f>
        <v>43646</v>
      </c>
      <c r="X233" s="260">
        <f>$X$83</f>
        <v>43738</v>
      </c>
      <c r="Y233" s="298">
        <f>$Y$83</f>
        <v>43830</v>
      </c>
      <c r="AA233" s="313">
        <f>$AA$83</f>
        <v>42735</v>
      </c>
      <c r="AB233" s="314">
        <f>$AB$83</f>
        <v>43100</v>
      </c>
      <c r="AC233" s="176">
        <f>$AC$83</f>
        <v>43465</v>
      </c>
      <c r="AD233" s="176">
        <f>$AD$83</f>
        <v>43830</v>
      </c>
    </row>
    <row r="234" outlineLevel="1" spans="13:16">
      <c r="M234" s="648"/>
      <c r="N234" s="212"/>
      <c r="O234" s="212"/>
      <c r="P234" s="649"/>
    </row>
    <row r="235" outlineLevel="1" spans="3:30">
      <c r="C235" s="51" t="s">
        <v>275</v>
      </c>
      <c r="D235" s="181" t="s">
        <v>48</v>
      </c>
      <c r="F235" s="329">
        <f t="shared" ref="F235:L235" si="206">+F126</f>
        <v>39.125</v>
      </c>
      <c r="G235" s="329">
        <f t="shared" si="206"/>
        <v>27.951</v>
      </c>
      <c r="H235" s="329">
        <f t="shared" si="206"/>
        <v>187.33</v>
      </c>
      <c r="I235" s="329">
        <f t="shared" si="206"/>
        <v>77.6820000000001</v>
      </c>
      <c r="J235" s="329">
        <f t="shared" si="206"/>
        <v>66.145</v>
      </c>
      <c r="K235" s="329">
        <f t="shared" si="206"/>
        <v>43.6330873647536</v>
      </c>
      <c r="L235" s="329">
        <f t="shared" si="206"/>
        <v>46.9938511320317</v>
      </c>
      <c r="M235" s="675"/>
      <c r="N235" s="324"/>
      <c r="O235" s="324"/>
      <c r="P235" s="651">
        <f t="shared" ref="P235:P237" si="207">+L235</f>
        <v>46.9938511320317</v>
      </c>
      <c r="Q235" s="329">
        <f t="shared" ref="Q235:Y235" si="208">+Q126</f>
        <v>58.05085820611</v>
      </c>
      <c r="R235" s="329">
        <f t="shared" si="208"/>
        <v>73.2262554499201</v>
      </c>
      <c r="S235" s="329">
        <f t="shared" si="208"/>
        <v>47.6692398881536</v>
      </c>
      <c r="T235" s="329">
        <f t="shared" si="208"/>
        <v>58.9251972954341</v>
      </c>
      <c r="U235" s="329">
        <f t="shared" si="208"/>
        <v>83.351893751948</v>
      </c>
      <c r="V235" s="329">
        <f t="shared" si="208"/>
        <v>97.8254279564179</v>
      </c>
      <c r="W235" s="329">
        <f t="shared" si="208"/>
        <v>72.0627699086696</v>
      </c>
      <c r="X235" s="329">
        <f t="shared" si="208"/>
        <v>83.3397125820833</v>
      </c>
      <c r="Y235" s="329">
        <f t="shared" si="208"/>
        <v>105.314824936053</v>
      </c>
      <c r="AA235" s="336">
        <f t="shared" ref="AA235:AD235" si="209">SUMIF($F$78:$Y$78,AA$78,$F235:$Y235)</f>
        <v>332.088</v>
      </c>
      <c r="AB235" s="336">
        <f t="shared" si="209"/>
        <v>214.822796702895</v>
      </c>
      <c r="AC235" s="336">
        <f t="shared" si="209"/>
        <v>263.172586385456</v>
      </c>
      <c r="AD235" s="336">
        <f t="shared" si="209"/>
        <v>358.542735383224</v>
      </c>
    </row>
    <row r="236" outlineLevel="1" spans="3:30">
      <c r="C236" s="51" t="s">
        <v>268</v>
      </c>
      <c r="D236" s="181" t="s">
        <v>48</v>
      </c>
      <c r="F236" s="521">
        <f>+'DLR-Op-Model'!F201</f>
        <v>0.663</v>
      </c>
      <c r="G236" s="521">
        <f>+'DLR-Op-Model'!G201</f>
        <v>0.457</v>
      </c>
      <c r="H236" s="521">
        <f>+'DLR-Op-Model'!H201</f>
        <v>3.024</v>
      </c>
      <c r="I236" s="521">
        <f>+'DLR-Op-Model'!I201</f>
        <v>1.154</v>
      </c>
      <c r="J236" s="521">
        <f>+'DLR-Op-Model'!J201</f>
        <v>0.904</v>
      </c>
      <c r="K236" s="521">
        <f>+'DLR-Op-Model'!K201</f>
        <v>0.9408</v>
      </c>
      <c r="L236" s="521">
        <f>+'DLR-Op-Model'!L201</f>
        <v>0.65435</v>
      </c>
      <c r="M236" s="671"/>
      <c r="N236" s="274"/>
      <c r="O236" s="274"/>
      <c r="P236" s="579">
        <f t="shared" si="207"/>
        <v>0.65435</v>
      </c>
      <c r="Q236" s="309">
        <f t="shared" ref="Q236:Y236" si="210">+Q195</f>
        <v>9.2301</v>
      </c>
      <c r="R236" s="309">
        <f t="shared" si="210"/>
        <v>7.5852</v>
      </c>
      <c r="S236" s="309">
        <f t="shared" si="210"/>
        <v>7.07385</v>
      </c>
      <c r="T236" s="309">
        <f t="shared" si="210"/>
        <v>7.89012</v>
      </c>
      <c r="U236" s="309">
        <f t="shared" si="210"/>
        <v>9.70347</v>
      </c>
      <c r="V236" s="309">
        <f t="shared" si="210"/>
        <v>9.691605</v>
      </c>
      <c r="W236" s="309">
        <f t="shared" si="210"/>
        <v>7.96446</v>
      </c>
      <c r="X236" s="309">
        <f t="shared" si="210"/>
        <v>7.4275425</v>
      </c>
      <c r="Y236" s="309">
        <f t="shared" si="210"/>
        <v>8.284626</v>
      </c>
      <c r="AA236" s="289">
        <f t="shared" ref="AA236:AD236" si="211">SUMIF($F$78:$Y$78,AA$78,$F236:$Y236)</f>
        <v>5.298</v>
      </c>
      <c r="AB236" s="289">
        <f t="shared" si="211"/>
        <v>11.72925</v>
      </c>
      <c r="AC236" s="289">
        <f t="shared" si="211"/>
        <v>32.25264</v>
      </c>
      <c r="AD236" s="289">
        <f t="shared" si="211"/>
        <v>33.3682335</v>
      </c>
    </row>
    <row r="237" outlineLevel="1" spans="3:30">
      <c r="C237" s="51" t="s">
        <v>306</v>
      </c>
      <c r="D237" s="181" t="s">
        <v>48</v>
      </c>
      <c r="F237" s="521">
        <f>+'DLR-Op-Model'!F202</f>
        <v>166.912</v>
      </c>
      <c r="G237" s="521">
        <f>+'DLR-Op-Model'!G202</f>
        <v>167.043</v>
      </c>
      <c r="H237" s="521">
        <f>+'DLR-Op-Model'!H202</f>
        <v>175.332</v>
      </c>
      <c r="I237" s="521">
        <f>+'DLR-Op-Model'!I202</f>
        <v>173.523</v>
      </c>
      <c r="J237" s="521">
        <f>+'DLR-Op-Model'!J202</f>
        <v>173.447</v>
      </c>
      <c r="K237" s="521">
        <f>+'DLR-Op-Model'!K202</f>
        <v>176.693712098545</v>
      </c>
      <c r="L237" s="521">
        <f>+'DLR-Op-Model'!L202</f>
        <v>185.913572456711</v>
      </c>
      <c r="M237" s="671"/>
      <c r="N237" s="274"/>
      <c r="O237" s="274"/>
      <c r="P237" s="579">
        <f t="shared" si="207"/>
        <v>185.913572456711</v>
      </c>
      <c r="Q237" s="309">
        <f>+'DLR-Op-Model'!M202+'DFT-Op-Model'!M192</f>
        <v>208.562283792785</v>
      </c>
      <c r="R237" s="309">
        <f>+'DLR-Op-Model'!N202+'DFT-Op-Model'!N192</f>
        <v>228.565652335619</v>
      </c>
      <c r="S237" s="309">
        <f>+'DLR-Op-Model'!O202+'DFT-Op-Model'!O192</f>
        <v>229.660284806652</v>
      </c>
      <c r="T237" s="309">
        <f>+'DLR-Op-Model'!P202+'DFT-Op-Model'!P192</f>
        <v>242.127621604226</v>
      </c>
      <c r="U237" s="309">
        <f>+'DLR-Op-Model'!Q202+'DFT-Op-Model'!Q192</f>
        <v>234.324186411152</v>
      </c>
      <c r="V237" s="309">
        <f>+'DLR-Op-Model'!R202+'DFT-Op-Model'!R192</f>
        <v>260.916648469776</v>
      </c>
      <c r="W237" s="309">
        <f>+'DLR-Op-Model'!S202+'DFT-Op-Model'!S192</f>
        <v>261.449966222085</v>
      </c>
      <c r="X237" s="309">
        <f>+'DLR-Op-Model'!T202+'DFT-Op-Model'!T192</f>
        <v>274.366127951053</v>
      </c>
      <c r="Y237" s="309">
        <f>+'DLR-Op-Model'!U202+'DFT-Op-Model'!U192</f>
        <v>265.920099814276</v>
      </c>
      <c r="AA237" s="289">
        <f t="shared" ref="AA237:AD237" si="212">SUMIF($F$78:$Y$78,AA$78,$F237:$Y237)</f>
        <v>682.81</v>
      </c>
      <c r="AB237" s="289">
        <f t="shared" si="212"/>
        <v>744.61656834804</v>
      </c>
      <c r="AC237" s="289">
        <f t="shared" si="212"/>
        <v>934.677745157649</v>
      </c>
      <c r="AD237" s="289">
        <f t="shared" si="212"/>
        <v>1062.65284245719</v>
      </c>
    </row>
    <row r="238" outlineLevel="1" spans="3:30">
      <c r="C238" s="544" t="s">
        <v>280</v>
      </c>
      <c r="D238" s="545" t="s">
        <v>48</v>
      </c>
      <c r="E238" s="546"/>
      <c r="F238" s="621"/>
      <c r="G238" s="621"/>
      <c r="H238" s="621"/>
      <c r="I238" s="621"/>
      <c r="J238" s="621"/>
      <c r="K238" s="621"/>
      <c r="L238" s="621"/>
      <c r="M238" s="582"/>
      <c r="N238" s="583"/>
      <c r="O238" s="583"/>
      <c r="P238" s="584"/>
      <c r="Q238" s="583">
        <f t="shared" ref="Q238:Y238" si="213">+Q199</f>
        <v>1.07099768625884</v>
      </c>
      <c r="R238" s="583">
        <f t="shared" si="213"/>
        <v>1.07099768625884</v>
      </c>
      <c r="S238" s="583">
        <f t="shared" si="213"/>
        <v>1.07099768625884</v>
      </c>
      <c r="T238" s="583">
        <f t="shared" si="213"/>
        <v>1.07099768625884</v>
      </c>
      <c r="U238" s="583">
        <f t="shared" si="213"/>
        <v>1.07099768625884</v>
      </c>
      <c r="V238" s="583">
        <f t="shared" si="213"/>
        <v>1.07099768625884</v>
      </c>
      <c r="W238" s="583">
        <f t="shared" si="213"/>
        <v>1.07099768625884</v>
      </c>
      <c r="X238" s="583">
        <f t="shared" si="213"/>
        <v>1.07099768625884</v>
      </c>
      <c r="Y238" s="583">
        <f t="shared" si="213"/>
        <v>1.07099768625884</v>
      </c>
      <c r="AA238" s="621">
        <f t="shared" ref="AA238:AD238" si="214">SUMIF($F$78:$Y$78,AA$78,$F238:$Y238)</f>
        <v>0</v>
      </c>
      <c r="AB238" s="621">
        <f t="shared" si="214"/>
        <v>1.07099768625884</v>
      </c>
      <c r="AC238" s="621">
        <f t="shared" si="214"/>
        <v>4.28399074503537</v>
      </c>
      <c r="AD238" s="621">
        <f t="shared" si="214"/>
        <v>4.28399074503537</v>
      </c>
    </row>
    <row r="239" outlineLevel="1" spans="3:30">
      <c r="C239" s="51" t="s">
        <v>307</v>
      </c>
      <c r="D239" s="181" t="s">
        <v>48</v>
      </c>
      <c r="F239" s="521">
        <f>+'DLR-Op-Model'!F203</f>
        <v>0</v>
      </c>
      <c r="G239" s="521">
        <f>+'DLR-Op-Model'!G203</f>
        <v>6.122</v>
      </c>
      <c r="H239" s="521">
        <f>+'DLR-Op-Model'!H203</f>
        <v>0</v>
      </c>
      <c r="I239" s="521">
        <f>+'DLR-Op-Model'!I203</f>
        <v>0</v>
      </c>
      <c r="J239" s="521">
        <f>+'DLR-Op-Model'!J203</f>
        <v>0</v>
      </c>
      <c r="K239" s="521">
        <f>+'DLR-Op-Model'!K203</f>
        <v>0</v>
      </c>
      <c r="L239" s="521">
        <f>+'DLR-Op-Model'!L203</f>
        <v>0</v>
      </c>
      <c r="M239" s="658"/>
      <c r="N239" s="289"/>
      <c r="O239" s="289"/>
      <c r="P239" s="560">
        <f t="shared" ref="P239:P241" si="215">+L239</f>
        <v>0</v>
      </c>
      <c r="Q239" s="302">
        <f>+'DLR-Op-Model'!M203+'DFT-Op-Model'!M193</f>
        <v>0</v>
      </c>
      <c r="R239" s="302">
        <f>+'DLR-Op-Model'!N203+'DFT-Op-Model'!N193</f>
        <v>0</v>
      </c>
      <c r="S239" s="302">
        <f>+'DLR-Op-Model'!O203+'DFT-Op-Model'!O193</f>
        <v>0</v>
      </c>
      <c r="T239" s="302">
        <f>+'DLR-Op-Model'!P203+'DFT-Op-Model'!P193</f>
        <v>0</v>
      </c>
      <c r="U239" s="302">
        <f>+'DLR-Op-Model'!Q203+'DFT-Op-Model'!Q193</f>
        <v>0</v>
      </c>
      <c r="V239" s="302">
        <f>+'DLR-Op-Model'!R203+'DFT-Op-Model'!R193</f>
        <v>0</v>
      </c>
      <c r="W239" s="302">
        <f>+'DLR-Op-Model'!S203+'DFT-Op-Model'!S193</f>
        <v>0</v>
      </c>
      <c r="X239" s="302">
        <f>+'DLR-Op-Model'!T203+'DFT-Op-Model'!T193</f>
        <v>0</v>
      </c>
      <c r="Y239" s="302">
        <f>+'DLR-Op-Model'!U203+'DFT-Op-Model'!U193</f>
        <v>0</v>
      </c>
      <c r="AA239" s="289">
        <f t="shared" ref="AA239:AD239" si="216">SUMIF($F$78:$Y$78,AA$78,$F239:$Y239)</f>
        <v>6.122</v>
      </c>
      <c r="AB239" s="289">
        <f t="shared" si="216"/>
        <v>0</v>
      </c>
      <c r="AC239" s="289">
        <f t="shared" si="216"/>
        <v>0</v>
      </c>
      <c r="AD239" s="289">
        <f t="shared" si="216"/>
        <v>0</v>
      </c>
    </row>
    <row r="240" outlineLevel="1" spans="3:30">
      <c r="C240" s="51" t="s">
        <v>308</v>
      </c>
      <c r="D240" s="181" t="s">
        <v>48</v>
      </c>
      <c r="F240" s="206">
        <f>+'DLR-Op-Model'!F204</f>
        <v>2.803</v>
      </c>
      <c r="G240" s="206">
        <f>+'DLR-Op-Model'!G204</f>
        <v>2.81</v>
      </c>
      <c r="H240" s="206">
        <f>+'DLR-Op-Model'!H204</f>
        <v>2.81</v>
      </c>
      <c r="I240" s="206">
        <f>+'DLR-Op-Model'!I204</f>
        <v>2.823</v>
      </c>
      <c r="J240" s="206">
        <f>+'DLR-Op-Model'!J204</f>
        <v>2.757</v>
      </c>
      <c r="K240" s="206">
        <f>+'DLR-Op-Model'!K204</f>
        <v>2.578368</v>
      </c>
      <c r="L240" s="676">
        <f>+'DLR-Op-Model'!L204</f>
        <v>2.435148</v>
      </c>
      <c r="M240" s="658"/>
      <c r="N240" s="289"/>
      <c r="O240" s="289"/>
      <c r="P240" s="560">
        <f t="shared" si="215"/>
        <v>2.435148</v>
      </c>
      <c r="Q240" s="521">
        <f>+'DLR-Op-Model'!M204</f>
        <v>2.6081</v>
      </c>
      <c r="R240" s="521">
        <f>+'DLR-Op-Model'!N204</f>
        <v>2.7951</v>
      </c>
      <c r="S240" s="521">
        <f>+'DLR-Op-Model'!O204</f>
        <v>2.7072864</v>
      </c>
      <c r="T240" s="521">
        <f>+'DLR-Op-Model'!P204</f>
        <v>2.5569054</v>
      </c>
      <c r="U240" s="521">
        <f>+'DLR-Op-Model'!Q204</f>
        <v>2.738505</v>
      </c>
      <c r="V240" s="521">
        <f>+'DLR-Op-Model'!R204</f>
        <v>2.934855</v>
      </c>
      <c r="W240" s="521">
        <f>+'DLR-Op-Model'!S204</f>
        <v>2.84265072</v>
      </c>
      <c r="X240" s="521">
        <f>+'DLR-Op-Model'!T204</f>
        <v>2.68475067</v>
      </c>
      <c r="Y240" s="521">
        <f>+'DLR-Op-Model'!U204</f>
        <v>2.87543025</v>
      </c>
      <c r="AA240" s="289">
        <f t="shared" ref="AA240:AD240" si="217">SUMIF($F$78:$Y$78,AA$78,$F240:$Y240)</f>
        <v>11.246</v>
      </c>
      <c r="AB240" s="289">
        <f t="shared" si="217"/>
        <v>10.378616</v>
      </c>
      <c r="AC240" s="289">
        <f t="shared" si="217"/>
        <v>10.7977968</v>
      </c>
      <c r="AD240" s="289">
        <f t="shared" si="217"/>
        <v>11.33768664</v>
      </c>
    </row>
    <row r="241" outlineLevel="1" spans="3:30">
      <c r="C241" s="51" t="s">
        <v>281</v>
      </c>
      <c r="D241" s="181" t="s">
        <v>48</v>
      </c>
      <c r="F241" s="302">
        <f t="shared" ref="F241:L241" si="218">+F200</f>
        <v>-1.097</v>
      </c>
      <c r="G241" s="302">
        <f t="shared" si="218"/>
        <v>0</v>
      </c>
      <c r="H241" s="302">
        <f t="shared" si="218"/>
        <v>-169</v>
      </c>
      <c r="I241" s="302">
        <f t="shared" si="218"/>
        <v>0.195</v>
      </c>
      <c r="J241" s="302">
        <f t="shared" si="218"/>
        <v>0.522</v>
      </c>
      <c r="K241" s="302">
        <f t="shared" si="218"/>
        <v>0</v>
      </c>
      <c r="L241" s="302">
        <f t="shared" si="218"/>
        <v>0</v>
      </c>
      <c r="M241" s="658"/>
      <c r="N241" s="289"/>
      <c r="O241" s="289"/>
      <c r="P241" s="560">
        <f t="shared" si="215"/>
        <v>0</v>
      </c>
      <c r="Q241" s="302">
        <f t="shared" ref="Q241:Y241" si="219">+Q200</f>
        <v>0</v>
      </c>
      <c r="R241" s="302">
        <f t="shared" si="219"/>
        <v>0</v>
      </c>
      <c r="S241" s="302">
        <f t="shared" si="219"/>
        <v>0</v>
      </c>
      <c r="T241" s="302">
        <f t="shared" si="219"/>
        <v>0</v>
      </c>
      <c r="U241" s="302">
        <f t="shared" si="219"/>
        <v>0</v>
      </c>
      <c r="V241" s="302">
        <f t="shared" si="219"/>
        <v>0</v>
      </c>
      <c r="W241" s="302">
        <f t="shared" si="219"/>
        <v>0</v>
      </c>
      <c r="X241" s="302">
        <f t="shared" si="219"/>
        <v>0</v>
      </c>
      <c r="Y241" s="302">
        <f t="shared" si="219"/>
        <v>0</v>
      </c>
      <c r="AA241" s="311">
        <f t="shared" ref="AA241:AD241" si="220">SUMIF($F$78:$Y$78,AA$78,$F241:$Y241)</f>
        <v>-169.902</v>
      </c>
      <c r="AB241" s="311">
        <f t="shared" si="220"/>
        <v>0.522</v>
      </c>
      <c r="AC241" s="311">
        <f t="shared" si="220"/>
        <v>0</v>
      </c>
      <c r="AD241" s="311">
        <f t="shared" si="220"/>
        <v>0</v>
      </c>
    </row>
    <row r="242" outlineLevel="1" spans="3:30">
      <c r="C242" s="189" t="s">
        <v>50</v>
      </c>
      <c r="D242" s="190" t="s">
        <v>48</v>
      </c>
      <c r="E242" s="212"/>
      <c r="F242" s="272">
        <f t="shared" ref="F242:L242" si="221">SUM(F235:F241)</f>
        <v>208.406</v>
      </c>
      <c r="G242" s="272">
        <f t="shared" si="221"/>
        <v>204.383</v>
      </c>
      <c r="H242" s="272">
        <f t="shared" si="221"/>
        <v>199.496</v>
      </c>
      <c r="I242" s="272">
        <f t="shared" si="221"/>
        <v>255.377</v>
      </c>
      <c r="J242" s="272">
        <f t="shared" si="221"/>
        <v>243.775</v>
      </c>
      <c r="K242" s="272">
        <f t="shared" si="221"/>
        <v>223.845967463298</v>
      </c>
      <c r="L242" s="575">
        <f t="shared" si="221"/>
        <v>235.996921588742</v>
      </c>
      <c r="M242" s="574"/>
      <c r="N242" s="272"/>
      <c r="O242" s="272"/>
      <c r="P242" s="575">
        <f t="shared" ref="P242:Y242" si="222">SUM(P235:P241)</f>
        <v>235.996921588742</v>
      </c>
      <c r="Q242" s="272">
        <f t="shared" si="222"/>
        <v>279.522339685153</v>
      </c>
      <c r="R242" s="272">
        <f t="shared" si="222"/>
        <v>313.243205471798</v>
      </c>
      <c r="S242" s="272">
        <f t="shared" si="222"/>
        <v>288.181658781064</v>
      </c>
      <c r="T242" s="272">
        <f t="shared" si="222"/>
        <v>312.570841985919</v>
      </c>
      <c r="U242" s="272">
        <f t="shared" si="222"/>
        <v>331.189052849359</v>
      </c>
      <c r="V242" s="272">
        <f t="shared" si="222"/>
        <v>372.439534112453</v>
      </c>
      <c r="W242" s="272">
        <f t="shared" si="222"/>
        <v>345.390844537013</v>
      </c>
      <c r="X242" s="272">
        <f t="shared" si="222"/>
        <v>368.889131389395</v>
      </c>
      <c r="Y242" s="272">
        <f t="shared" si="222"/>
        <v>383.465978686588</v>
      </c>
      <c r="AA242" s="224">
        <f t="shared" ref="AA242:AD242" si="223">SUM(AA235:AA241)</f>
        <v>867.662</v>
      </c>
      <c r="AB242" s="224">
        <f t="shared" si="223"/>
        <v>983.140228737194</v>
      </c>
      <c r="AC242" s="224">
        <f t="shared" si="223"/>
        <v>1245.18475908814</v>
      </c>
      <c r="AD242" s="224">
        <f t="shared" si="223"/>
        <v>1470.18548872545</v>
      </c>
    </row>
    <row r="243" outlineLevel="1" spans="6:25">
      <c r="F243" s="269"/>
      <c r="G243" s="269"/>
      <c r="H243" s="269"/>
      <c r="I243" s="269"/>
      <c r="J243" s="269"/>
      <c r="K243" s="269"/>
      <c r="L243" s="269"/>
      <c r="M243" s="576"/>
      <c r="P243" s="577"/>
      <c r="Q243" s="569"/>
      <c r="R243" s="269"/>
      <c r="S243" s="269"/>
      <c r="T243" s="269"/>
      <c r="U243" s="269"/>
      <c r="V243" s="269"/>
      <c r="W243" s="269"/>
      <c r="X243" s="269"/>
      <c r="Y243" s="269"/>
    </row>
    <row r="244" outlineLevel="1" spans="3:30">
      <c r="C244" s="11" t="s">
        <v>50</v>
      </c>
      <c r="D244" s="181" t="s">
        <v>48</v>
      </c>
      <c r="F244" s="309">
        <f t="shared" ref="F244:L244" si="224">+F242</f>
        <v>208.406</v>
      </c>
      <c r="G244" s="309">
        <f t="shared" si="224"/>
        <v>204.383</v>
      </c>
      <c r="H244" s="309">
        <f t="shared" si="224"/>
        <v>199.496</v>
      </c>
      <c r="I244" s="309">
        <f t="shared" si="224"/>
        <v>255.377</v>
      </c>
      <c r="J244" s="309">
        <f t="shared" si="224"/>
        <v>243.775</v>
      </c>
      <c r="K244" s="309">
        <f t="shared" si="224"/>
        <v>223.845967463298</v>
      </c>
      <c r="L244" s="309">
        <f t="shared" si="224"/>
        <v>235.996921588742</v>
      </c>
      <c r="M244" s="578"/>
      <c r="N244" s="309"/>
      <c r="O244" s="309"/>
      <c r="P244" s="579">
        <f t="shared" ref="P244:P247" si="225">+L244</f>
        <v>235.996921588742</v>
      </c>
      <c r="Q244" s="309">
        <f t="shared" ref="Q244:Y244" si="226">+Q242</f>
        <v>279.522339685153</v>
      </c>
      <c r="R244" s="309">
        <f t="shared" si="226"/>
        <v>313.243205471798</v>
      </c>
      <c r="S244" s="309">
        <f t="shared" si="226"/>
        <v>288.181658781064</v>
      </c>
      <c r="T244" s="309">
        <f t="shared" si="226"/>
        <v>312.570841985919</v>
      </c>
      <c r="U244" s="309">
        <f t="shared" si="226"/>
        <v>331.189052849359</v>
      </c>
      <c r="V244" s="309">
        <f t="shared" si="226"/>
        <v>372.439534112453</v>
      </c>
      <c r="W244" s="309">
        <f t="shared" si="226"/>
        <v>345.390844537013</v>
      </c>
      <c r="X244" s="309">
        <f t="shared" si="226"/>
        <v>368.889131389395</v>
      </c>
      <c r="Y244" s="309">
        <f t="shared" si="226"/>
        <v>383.465978686588</v>
      </c>
      <c r="AA244" s="309">
        <f t="shared" ref="AA244:AD244" si="227">+AA242</f>
        <v>867.662</v>
      </c>
      <c r="AB244" s="309">
        <f t="shared" si="227"/>
        <v>983.140228737194</v>
      </c>
      <c r="AC244" s="309">
        <f t="shared" si="227"/>
        <v>1245.18475908814</v>
      </c>
      <c r="AD244" s="309">
        <f t="shared" si="227"/>
        <v>1470.18548872545</v>
      </c>
    </row>
    <row r="245" outlineLevel="1" spans="3:30">
      <c r="C245" s="51" t="s">
        <v>309</v>
      </c>
      <c r="D245" s="181" t="s">
        <v>48</v>
      </c>
      <c r="F245" s="206">
        <f>+'DLR-Op-Model'!F209</f>
        <v>2.104</v>
      </c>
      <c r="G245" s="206">
        <f>+'DLR-Op-Model'!G209</f>
        <v>2.429</v>
      </c>
      <c r="H245" s="206">
        <f>+'DLR-Op-Model'!H209</f>
        <v>2.801</v>
      </c>
      <c r="I245" s="206">
        <f>+'DLR-Op-Model'!I209</f>
        <v>3.058</v>
      </c>
      <c r="J245" s="206">
        <f>+'DLR-Op-Model'!J209</f>
        <v>3.019</v>
      </c>
      <c r="K245" s="521">
        <f>+'DLR-Op-Model'!K209</f>
        <v>3.42220237499731</v>
      </c>
      <c r="L245" s="521">
        <f>+'DLR-Op-Model'!L209</f>
        <v>2.97004492306738</v>
      </c>
      <c r="M245" s="578"/>
      <c r="N245" s="309"/>
      <c r="O245" s="309"/>
      <c r="P245" s="579">
        <f t="shared" si="225"/>
        <v>2.97004492306738</v>
      </c>
      <c r="Q245" s="309">
        <f>+'DLR-Op-Model'!M209+'DFT-Op-Model'!M198</f>
        <v>3.31811515661342</v>
      </c>
      <c r="R245" s="309">
        <f>+'DLR-Op-Model'!N209+'DFT-Op-Model'!N198</f>
        <v>3.64137099575574</v>
      </c>
      <c r="S245" s="309">
        <f>+'DLR-Op-Model'!O209+'DFT-Op-Model'!O198</f>
        <v>4.05496844529727</v>
      </c>
      <c r="T245" s="309">
        <f>+'DLR-Op-Model'!P209+'DFT-Op-Model'!P198</f>
        <v>3.58852173655303</v>
      </c>
      <c r="U245" s="309">
        <f>+'DLR-Op-Model'!Q209+'DFT-Op-Model'!Q198</f>
        <v>3.70563122207325</v>
      </c>
      <c r="V245" s="309">
        <f>+'DLR-Op-Model'!R209+'DFT-Op-Model'!R198</f>
        <v>4.14293300019302</v>
      </c>
      <c r="W245" s="309">
        <f>+'DLR-Op-Model'!S209+'DFT-Op-Model'!S198</f>
        <v>4.59506855991501</v>
      </c>
      <c r="X245" s="309">
        <f>+'DLR-Op-Model'!T209+'DFT-Op-Model'!T198</f>
        <v>4.05175394894547</v>
      </c>
      <c r="Y245" s="309">
        <f>+'DLR-Op-Model'!U209+'DFT-Op-Model'!U198</f>
        <v>4.18643121160996</v>
      </c>
      <c r="AA245" s="309">
        <f t="shared" ref="AA245:AD245" si="228">SUMIF($F$78:$Y$78,AA$78,$F245:$Y245)</f>
        <v>10.392</v>
      </c>
      <c r="AB245" s="309">
        <f t="shared" si="228"/>
        <v>12.7293624546781</v>
      </c>
      <c r="AC245" s="309">
        <f t="shared" si="228"/>
        <v>14.9904923996793</v>
      </c>
      <c r="AD245" s="309">
        <f t="shared" si="228"/>
        <v>16.9761867206635</v>
      </c>
    </row>
    <row r="246" outlineLevel="1" spans="3:30">
      <c r="C246" s="51" t="s">
        <v>282</v>
      </c>
      <c r="D246" s="181" t="s">
        <v>48</v>
      </c>
      <c r="F246" s="302">
        <f t="shared" ref="F246:L246" si="229">+F201</f>
        <v>-1.801</v>
      </c>
      <c r="G246" s="302">
        <f t="shared" si="229"/>
        <v>0.379</v>
      </c>
      <c r="H246" s="302">
        <f t="shared" si="229"/>
        <v>0.37</v>
      </c>
      <c r="I246" s="302">
        <f t="shared" si="229"/>
        <v>-0.114</v>
      </c>
      <c r="J246" s="302">
        <f t="shared" si="229"/>
        <v>0.129</v>
      </c>
      <c r="K246" s="302">
        <f t="shared" si="229"/>
        <v>-1.89227783875046</v>
      </c>
      <c r="L246" s="302">
        <f t="shared" si="229"/>
        <v>0.421277236864695</v>
      </c>
      <c r="M246" s="578"/>
      <c r="N246" s="309"/>
      <c r="O246" s="309"/>
      <c r="P246" s="579">
        <f t="shared" si="225"/>
        <v>0.421277236864695</v>
      </c>
      <c r="Q246" s="309">
        <f t="shared" ref="Q246:Y246" si="230">+Q201</f>
        <v>0.229880488285452</v>
      </c>
      <c r="R246" s="309">
        <f t="shared" si="230"/>
        <v>1.14463112891582</v>
      </c>
      <c r="S246" s="309">
        <f t="shared" si="230"/>
        <v>2.17185088884241</v>
      </c>
      <c r="T246" s="309">
        <f t="shared" si="230"/>
        <v>-4.71956533955206</v>
      </c>
      <c r="U246" s="309">
        <f t="shared" si="230"/>
        <v>1.52481290215279</v>
      </c>
      <c r="V246" s="309">
        <f t="shared" si="230"/>
        <v>0.27550231683939</v>
      </c>
      <c r="W246" s="309">
        <f t="shared" si="230"/>
        <v>1.37110218290495</v>
      </c>
      <c r="X246" s="309">
        <f t="shared" si="230"/>
        <v>2.72119300776603</v>
      </c>
      <c r="Y246" s="309">
        <f t="shared" si="230"/>
        <v>-5.79192523417506</v>
      </c>
      <c r="AA246" s="309">
        <f t="shared" ref="AA246:AD246" si="231">SUMIF($F$78:$Y$78,AA$78,$F246:$Y246)</f>
        <v>-1.166</v>
      </c>
      <c r="AB246" s="309">
        <f t="shared" si="231"/>
        <v>-1.11212011360032</v>
      </c>
      <c r="AC246" s="309">
        <f t="shared" si="231"/>
        <v>0.121729580358965</v>
      </c>
      <c r="AD246" s="309">
        <f t="shared" si="231"/>
        <v>-1.42412772666469</v>
      </c>
    </row>
    <row r="247" outlineLevel="1" spans="3:30">
      <c r="C247" s="51" t="s">
        <v>284</v>
      </c>
      <c r="D247" s="181" t="s">
        <v>48</v>
      </c>
      <c r="F247" s="302">
        <f t="shared" ref="F247:L247" si="232">+F203</f>
        <v>-2.266</v>
      </c>
      <c r="G247" s="302">
        <f t="shared" si="232"/>
        <v>-1.997</v>
      </c>
      <c r="H247" s="302">
        <f t="shared" si="232"/>
        <v>-2.002</v>
      </c>
      <c r="I247" s="302">
        <f t="shared" si="232"/>
        <v>-2.048</v>
      </c>
      <c r="J247" s="302">
        <f t="shared" si="232"/>
        <v>-1.973</v>
      </c>
      <c r="K247" s="302">
        <f t="shared" si="232"/>
        <v>-1.997</v>
      </c>
      <c r="L247" s="302">
        <f t="shared" si="232"/>
        <v>-2.002</v>
      </c>
      <c r="M247" s="578"/>
      <c r="N247" s="309"/>
      <c r="O247" s="309"/>
      <c r="P247" s="579">
        <f t="shared" si="225"/>
        <v>-2.002</v>
      </c>
      <c r="Q247" s="309">
        <f t="shared" ref="Q247:Y247" si="233">+Q203</f>
        <v>-2.139</v>
      </c>
      <c r="R247" s="309">
        <f t="shared" si="233"/>
        <v>-2.244</v>
      </c>
      <c r="S247" s="309">
        <f t="shared" si="233"/>
        <v>-2.103</v>
      </c>
      <c r="T247" s="309">
        <f t="shared" si="233"/>
        <v>-2.1</v>
      </c>
      <c r="U247" s="309">
        <f t="shared" si="233"/>
        <v>-2.139</v>
      </c>
      <c r="V247" s="309">
        <f t="shared" si="233"/>
        <v>-2.244</v>
      </c>
      <c r="W247" s="309">
        <f t="shared" si="233"/>
        <v>-2.103</v>
      </c>
      <c r="X247" s="309">
        <f t="shared" si="233"/>
        <v>-2.1</v>
      </c>
      <c r="Y247" s="309">
        <f t="shared" si="233"/>
        <v>-2.139</v>
      </c>
      <c r="AA247" s="309">
        <f t="shared" ref="AA247:AD247" si="234">SUMIF($F$78:$Y$78,AA$78,$F247:$Y247)</f>
        <v>-8.313</v>
      </c>
      <c r="AB247" s="309">
        <f t="shared" si="234"/>
        <v>-8.111</v>
      </c>
      <c r="AC247" s="309">
        <f t="shared" si="234"/>
        <v>-8.586</v>
      </c>
      <c r="AD247" s="309">
        <f t="shared" si="234"/>
        <v>-8.586</v>
      </c>
    </row>
    <row r="248" outlineLevel="1" spans="3:30">
      <c r="C248" s="538" t="s">
        <v>283</v>
      </c>
      <c r="D248" s="523" t="s">
        <v>48</v>
      </c>
      <c r="E248" s="539"/>
      <c r="F248" s="642"/>
      <c r="G248" s="642"/>
      <c r="H248" s="642"/>
      <c r="I248" s="642"/>
      <c r="J248" s="642"/>
      <c r="K248" s="642"/>
      <c r="L248" s="642"/>
      <c r="M248" s="659"/>
      <c r="N248" s="642"/>
      <c r="O248" s="642"/>
      <c r="P248" s="660"/>
      <c r="Q248" s="642">
        <f t="shared" ref="Q248:Y248" si="235">+Q202</f>
        <v>0.16206184063398</v>
      </c>
      <c r="R248" s="642">
        <f t="shared" si="235"/>
        <v>-1.26544818086218</v>
      </c>
      <c r="S248" s="642">
        <f t="shared" si="235"/>
        <v>-2.03409792358368</v>
      </c>
      <c r="T248" s="642">
        <f t="shared" si="235"/>
        <v>2.44740602759358</v>
      </c>
      <c r="U248" s="642">
        <f t="shared" si="235"/>
        <v>-1.05115135790039</v>
      </c>
      <c r="V248" s="642">
        <f t="shared" si="235"/>
        <v>0.194212546751336</v>
      </c>
      <c r="W248" s="642">
        <f t="shared" si="235"/>
        <v>-1.50231639935757</v>
      </c>
      <c r="X248" s="642">
        <f t="shared" si="235"/>
        <v>-2.55364292300706</v>
      </c>
      <c r="Y248" s="642">
        <f t="shared" si="235"/>
        <v>3.20318573816114</v>
      </c>
      <c r="AA248" s="562">
        <f t="shared" ref="AA248:AD248" si="236">SUMIF($F$78:$Y$78,AA$78,$F248:$Y248)</f>
        <v>0</v>
      </c>
      <c r="AB248" s="562">
        <f t="shared" si="236"/>
        <v>0.16206184063398</v>
      </c>
      <c r="AC248" s="562">
        <f t="shared" si="236"/>
        <v>-1.90329143475266</v>
      </c>
      <c r="AD248" s="562">
        <f t="shared" si="236"/>
        <v>-0.658561037452148</v>
      </c>
    </row>
    <row r="249" outlineLevel="1" spans="3:30">
      <c r="C249" s="643" t="s">
        <v>285</v>
      </c>
      <c r="D249" s="533" t="s">
        <v>48</v>
      </c>
      <c r="E249" s="644"/>
      <c r="F249" s="645"/>
      <c r="G249" s="645"/>
      <c r="H249" s="645"/>
      <c r="I249" s="645"/>
      <c r="J249" s="645"/>
      <c r="K249" s="645"/>
      <c r="L249" s="645"/>
      <c r="M249" s="661"/>
      <c r="N249" s="645"/>
      <c r="O249" s="645"/>
      <c r="P249" s="662"/>
      <c r="Q249" s="645">
        <f t="shared" ref="Q249:Y249" si="237">+Q204</f>
        <v>10.078033591125</v>
      </c>
      <c r="R249" s="645">
        <f t="shared" si="237"/>
        <v>10.078033591125</v>
      </c>
      <c r="S249" s="645">
        <f t="shared" si="237"/>
        <v>10.078033591125</v>
      </c>
      <c r="T249" s="645">
        <f t="shared" si="237"/>
        <v>10.078033591125</v>
      </c>
      <c r="U249" s="645">
        <f t="shared" si="237"/>
        <v>10.078033591125</v>
      </c>
      <c r="V249" s="645">
        <f t="shared" si="237"/>
        <v>10.078033591125</v>
      </c>
      <c r="W249" s="645">
        <f t="shared" si="237"/>
        <v>10.078033591125</v>
      </c>
      <c r="X249" s="645">
        <f t="shared" si="237"/>
        <v>10.078033591125</v>
      </c>
      <c r="Y249" s="645">
        <f t="shared" si="237"/>
        <v>10.078033591125</v>
      </c>
      <c r="AA249" s="572">
        <f t="shared" ref="AA249:AD249" si="238">SUMIF($F$78:$Y$78,AA$78,$F249:$Y249)</f>
        <v>0</v>
      </c>
      <c r="AB249" s="572">
        <f t="shared" si="238"/>
        <v>10.078033591125</v>
      </c>
      <c r="AC249" s="572">
        <f t="shared" si="238"/>
        <v>40.3121343645</v>
      </c>
      <c r="AD249" s="572">
        <f t="shared" si="238"/>
        <v>40.3121343645</v>
      </c>
    </row>
    <row r="250" outlineLevel="1" spans="3:30">
      <c r="C250" s="643" t="s">
        <v>286</v>
      </c>
      <c r="D250" s="533" t="s">
        <v>48</v>
      </c>
      <c r="E250" s="644"/>
      <c r="F250" s="645"/>
      <c r="G250" s="645"/>
      <c r="H250" s="645"/>
      <c r="I250" s="645"/>
      <c r="J250" s="645"/>
      <c r="K250" s="645"/>
      <c r="L250" s="645"/>
      <c r="M250" s="661"/>
      <c r="N250" s="645"/>
      <c r="O250" s="645"/>
      <c r="P250" s="662"/>
      <c r="Q250" s="645">
        <f t="shared" ref="Q250:Y250" si="239">+Q205</f>
        <v>-3.83925089185714</v>
      </c>
      <c r="R250" s="645">
        <f t="shared" si="239"/>
        <v>-3.83925089185714</v>
      </c>
      <c r="S250" s="645">
        <f t="shared" si="239"/>
        <v>-3.83925089185714</v>
      </c>
      <c r="T250" s="645">
        <f t="shared" si="239"/>
        <v>-3.83925089185714</v>
      </c>
      <c r="U250" s="645">
        <f t="shared" si="239"/>
        <v>-3.83925089185714</v>
      </c>
      <c r="V250" s="645">
        <f t="shared" si="239"/>
        <v>-3.83925089185714</v>
      </c>
      <c r="W250" s="645">
        <f t="shared" si="239"/>
        <v>-3.83925089185714</v>
      </c>
      <c r="X250" s="645">
        <f t="shared" si="239"/>
        <v>-3.83925089185714</v>
      </c>
      <c r="Y250" s="645">
        <f t="shared" si="239"/>
        <v>-3.83925089185714</v>
      </c>
      <c r="AA250" s="572">
        <f t="shared" ref="AA250:AD250" si="240">SUMIF($F$78:$Y$78,AA$78,$F250:$Y250)</f>
        <v>0</v>
      </c>
      <c r="AB250" s="572">
        <f t="shared" si="240"/>
        <v>-3.83925089185714</v>
      </c>
      <c r="AC250" s="572">
        <f t="shared" si="240"/>
        <v>-15.3570035674286</v>
      </c>
      <c r="AD250" s="572">
        <f t="shared" si="240"/>
        <v>-15.3570035674286</v>
      </c>
    </row>
    <row r="251" outlineLevel="1" spans="3:30">
      <c r="C251" s="541" t="s">
        <v>287</v>
      </c>
      <c r="D251" s="527" t="s">
        <v>48</v>
      </c>
      <c r="E251" s="542"/>
      <c r="F251" s="646"/>
      <c r="G251" s="646"/>
      <c r="H251" s="646"/>
      <c r="I251" s="646"/>
      <c r="J251" s="646"/>
      <c r="K251" s="646"/>
      <c r="L251" s="646"/>
      <c r="M251" s="663"/>
      <c r="N251" s="646"/>
      <c r="O251" s="646"/>
      <c r="P251" s="664"/>
      <c r="Q251" s="646">
        <f t="shared" ref="Q251:Y251" si="241">+Q206</f>
        <v>28.3904411489766</v>
      </c>
      <c r="R251" s="646">
        <f t="shared" si="241"/>
        <v>28.3904411489766</v>
      </c>
      <c r="S251" s="646">
        <f t="shared" si="241"/>
        <v>28.3904411489766</v>
      </c>
      <c r="T251" s="646">
        <f t="shared" si="241"/>
        <v>28.3904411489766</v>
      </c>
      <c r="U251" s="646">
        <f t="shared" si="241"/>
        <v>28.3904411489766</v>
      </c>
      <c r="V251" s="646">
        <f t="shared" si="241"/>
        <v>28.3904411489766</v>
      </c>
      <c r="W251" s="646">
        <f t="shared" si="241"/>
        <v>28.3904411489766</v>
      </c>
      <c r="X251" s="646">
        <f t="shared" si="241"/>
        <v>28.3904411489766</v>
      </c>
      <c r="Y251" s="646">
        <f t="shared" si="241"/>
        <v>28.3904411489766</v>
      </c>
      <c r="AA251" s="565">
        <f t="shared" ref="AA251:AD251" si="242">SUMIF($F$78:$Y$78,AA$78,$F251:$Y251)</f>
        <v>0</v>
      </c>
      <c r="AB251" s="565">
        <f t="shared" si="242"/>
        <v>28.3904411489766</v>
      </c>
      <c r="AC251" s="565">
        <f t="shared" si="242"/>
        <v>113.561764595907</v>
      </c>
      <c r="AD251" s="565">
        <f t="shared" si="242"/>
        <v>113.561764595907</v>
      </c>
    </row>
    <row r="252" outlineLevel="1" spans="3:30">
      <c r="C252" s="51" t="s">
        <v>292</v>
      </c>
      <c r="D252" s="181" t="s">
        <v>48</v>
      </c>
      <c r="F252" s="302">
        <f t="shared" ref="F252:L252" si="243">+F213</f>
        <v>-21.064</v>
      </c>
      <c r="G252" s="302">
        <f t="shared" si="243"/>
        <v>-17.914</v>
      </c>
      <c r="H252" s="302">
        <f t="shared" si="243"/>
        <v>-15.252</v>
      </c>
      <c r="I252" s="302">
        <f t="shared" si="243"/>
        <v>-21.246</v>
      </c>
      <c r="J252" s="302">
        <f t="shared" si="243"/>
        <v>-29.588</v>
      </c>
      <c r="K252" s="302">
        <f t="shared" si="243"/>
        <v>-18.4295262732644</v>
      </c>
      <c r="L252" s="302">
        <f t="shared" si="243"/>
        <v>-15.9801743213522</v>
      </c>
      <c r="M252" s="578"/>
      <c r="N252" s="309"/>
      <c r="O252" s="309"/>
      <c r="P252" s="579">
        <f>+L252</f>
        <v>-15.9801743213522</v>
      </c>
      <c r="Q252" s="309">
        <f t="shared" ref="Q252:Y252" si="244">+Q213</f>
        <v>-22.2981677294308</v>
      </c>
      <c r="R252" s="309">
        <f t="shared" si="244"/>
        <v>-35.3385120361149</v>
      </c>
      <c r="S252" s="309">
        <f t="shared" si="244"/>
        <v>-21.7745122057468</v>
      </c>
      <c r="T252" s="309">
        <f t="shared" si="244"/>
        <v>-18.9838647226504</v>
      </c>
      <c r="U252" s="309">
        <f t="shared" si="244"/>
        <v>-24.8698885311098</v>
      </c>
      <c r="V252" s="309">
        <f t="shared" si="244"/>
        <v>-40.2124622361684</v>
      </c>
      <c r="W252" s="309">
        <f t="shared" si="244"/>
        <v>-24.6710568115026</v>
      </c>
      <c r="X252" s="309">
        <f t="shared" si="244"/>
        <v>-21.4162405146661</v>
      </c>
      <c r="Y252" s="309">
        <f t="shared" si="244"/>
        <v>-28.0691688461454</v>
      </c>
      <c r="AA252" s="309">
        <f t="shared" ref="AA252:AD252" si="245">SUMIF($F$78:$Y$78,AA$78,$F252:$Y252)</f>
        <v>-75.476</v>
      </c>
      <c r="AB252" s="309">
        <f t="shared" si="245"/>
        <v>-86.2958683240475</v>
      </c>
      <c r="AC252" s="309">
        <f t="shared" si="245"/>
        <v>-100.966777495622</v>
      </c>
      <c r="AD252" s="309">
        <f t="shared" si="245"/>
        <v>-114.368928408483</v>
      </c>
    </row>
    <row r="253" outlineLevel="1" spans="3:30">
      <c r="C253" s="51" t="s">
        <v>293</v>
      </c>
      <c r="D253" s="181" t="s">
        <v>48</v>
      </c>
      <c r="F253" s="302">
        <f t="shared" ref="F253:L253" si="246">+F214</f>
        <v>-4.719</v>
      </c>
      <c r="G253" s="302">
        <f t="shared" si="246"/>
        <v>-4.132</v>
      </c>
      <c r="H253" s="302">
        <f t="shared" si="246"/>
        <v>-4.581</v>
      </c>
      <c r="I253" s="302">
        <f t="shared" si="246"/>
        <v>-5.479</v>
      </c>
      <c r="J253" s="302">
        <f t="shared" si="246"/>
        <v>-4.127</v>
      </c>
      <c r="K253" s="302">
        <f t="shared" si="246"/>
        <v>-4.25091004583726</v>
      </c>
      <c r="L253" s="302">
        <f t="shared" si="246"/>
        <v>-4.79971010792779</v>
      </c>
      <c r="M253" s="578"/>
      <c r="N253" s="309"/>
      <c r="O253" s="309"/>
      <c r="P253" s="579">
        <f>+L253</f>
        <v>-4.79971010792779</v>
      </c>
      <c r="Q253" s="309">
        <f t="shared" ref="Q253:Y253" si="247">+Q214</f>
        <v>-6.15178856932607</v>
      </c>
      <c r="R253" s="309">
        <f t="shared" si="247"/>
        <v>-6.73829837292808</v>
      </c>
      <c r="S253" s="309">
        <f t="shared" si="247"/>
        <v>-5.54345504059923</v>
      </c>
      <c r="T253" s="309">
        <f t="shared" si="247"/>
        <v>-6.03380279047589</v>
      </c>
      <c r="U253" s="309">
        <f t="shared" si="247"/>
        <v>-6.88967875177774</v>
      </c>
      <c r="V253" s="309">
        <f t="shared" si="247"/>
        <v>-7.74846928803005</v>
      </c>
      <c r="W253" s="309">
        <f t="shared" si="247"/>
        <v>-6.31176757928367</v>
      </c>
      <c r="X253" s="309">
        <f t="shared" si="247"/>
        <v>-6.82586710220922</v>
      </c>
      <c r="Y253" s="309">
        <f t="shared" si="247"/>
        <v>-7.80011038756659</v>
      </c>
      <c r="AA253" s="309">
        <f t="shared" ref="AA253:AD253" si="248">SUMIF($F$78:$Y$78,AA$78,$F253:$Y253)</f>
        <v>-18.911</v>
      </c>
      <c r="AB253" s="309">
        <f t="shared" si="248"/>
        <v>-19.3294087230911</v>
      </c>
      <c r="AC253" s="309">
        <f t="shared" si="248"/>
        <v>-25.2052349557809</v>
      </c>
      <c r="AD253" s="309">
        <f t="shared" si="248"/>
        <v>-28.6862143570895</v>
      </c>
    </row>
    <row r="254" outlineLevel="1" spans="3:30">
      <c r="C254" s="189" t="s">
        <v>51</v>
      </c>
      <c r="D254" s="190" t="s">
        <v>48</v>
      </c>
      <c r="E254" s="212"/>
      <c r="F254" s="332">
        <f t="shared" ref="F254:L254" si="249">SUM(F244:F253)</f>
        <v>180.66</v>
      </c>
      <c r="G254" s="332">
        <f t="shared" si="249"/>
        <v>183.148</v>
      </c>
      <c r="H254" s="332">
        <f t="shared" si="249"/>
        <v>180.832</v>
      </c>
      <c r="I254" s="332">
        <f t="shared" si="249"/>
        <v>229.548</v>
      </c>
      <c r="J254" s="332">
        <f t="shared" si="249"/>
        <v>211.235</v>
      </c>
      <c r="K254" s="332">
        <f t="shared" si="249"/>
        <v>200.698455680443</v>
      </c>
      <c r="L254" s="674">
        <f t="shared" si="249"/>
        <v>216.606359319395</v>
      </c>
      <c r="M254" s="673"/>
      <c r="N254" s="332"/>
      <c r="O254" s="332"/>
      <c r="P254" s="630">
        <f t="shared" ref="P254:Y254" si="250">SUM(P244:P253)</f>
        <v>216.606359319395</v>
      </c>
      <c r="Q254" s="332">
        <f t="shared" si="250"/>
        <v>287.272664720174</v>
      </c>
      <c r="R254" s="332">
        <f t="shared" si="250"/>
        <v>307.072172854809</v>
      </c>
      <c r="S254" s="332">
        <f t="shared" si="250"/>
        <v>297.582636793519</v>
      </c>
      <c r="T254" s="332">
        <f t="shared" si="250"/>
        <v>321.398760745632</v>
      </c>
      <c r="U254" s="332">
        <f t="shared" si="250"/>
        <v>336.099002181042</v>
      </c>
      <c r="V254" s="332">
        <f t="shared" si="250"/>
        <v>361.476474300282</v>
      </c>
      <c r="W254" s="332">
        <f t="shared" si="250"/>
        <v>351.398098337934</v>
      </c>
      <c r="X254" s="332">
        <f t="shared" si="250"/>
        <v>377.395551654468</v>
      </c>
      <c r="Y254" s="332">
        <f t="shared" si="250"/>
        <v>381.684615016717</v>
      </c>
      <c r="AA254" s="332">
        <f t="shared" ref="AA254:AD254" si="251">SUM(AA244:AA253)</f>
        <v>774.188</v>
      </c>
      <c r="AB254" s="332">
        <f t="shared" si="251"/>
        <v>915.812479720012</v>
      </c>
      <c r="AC254" s="332">
        <f t="shared" si="251"/>
        <v>1262.152572575</v>
      </c>
      <c r="AD254" s="332">
        <f t="shared" si="251"/>
        <v>1471.9547393094</v>
      </c>
    </row>
    <row r="255" outlineLevel="1" spans="6:25">
      <c r="F255" s="209"/>
      <c r="G255" s="209"/>
      <c r="H255" s="209"/>
      <c r="I255" s="209"/>
      <c r="J255" s="209"/>
      <c r="K255" s="209"/>
      <c r="L255" s="209"/>
      <c r="M255" s="576"/>
      <c r="P255" s="577"/>
      <c r="Q255" s="623"/>
      <c r="R255" s="209"/>
      <c r="S255" s="209"/>
      <c r="T255" s="209"/>
      <c r="U255" s="209"/>
      <c r="V255" s="209"/>
      <c r="W255" s="209"/>
      <c r="X255" s="209"/>
      <c r="Y255" s="209"/>
    </row>
    <row r="256" outlineLevel="1" spans="3:30">
      <c r="C256" s="11" t="s">
        <v>310</v>
      </c>
      <c r="D256" s="736" t="s">
        <v>56</v>
      </c>
      <c r="F256" s="647">
        <f t="shared" ref="F256:L256" si="252">-F224/F254</f>
        <v>1.43086460755009</v>
      </c>
      <c r="G256" s="647">
        <f t="shared" si="252"/>
        <v>0.717998558542818</v>
      </c>
      <c r="H256" s="647">
        <f t="shared" si="252"/>
        <v>0.727747301362591</v>
      </c>
      <c r="I256" s="647">
        <f t="shared" si="252"/>
        <v>0</v>
      </c>
      <c r="J256" s="647">
        <f t="shared" si="252"/>
        <v>1.39702227377092</v>
      </c>
      <c r="K256" s="677">
        <f t="shared" si="252"/>
        <v>0.717998558542818</v>
      </c>
      <c r="L256" s="677">
        <f t="shared" si="252"/>
        <v>0.727747301362591</v>
      </c>
      <c r="M256" s="678"/>
      <c r="N256" s="223"/>
      <c r="O256" s="223"/>
      <c r="P256" s="679">
        <f t="shared" ref="P256:Y256" si="253">-P224/P254</f>
        <v>0.727747301362591</v>
      </c>
      <c r="Q256" s="223">
        <f t="shared" si="253"/>
        <v>0.154075665113431</v>
      </c>
      <c r="R256" s="223">
        <f t="shared" si="253"/>
        <v>1.21478531655989</v>
      </c>
      <c r="S256" s="223">
        <f t="shared" si="253"/>
        <v>0.714387445938757</v>
      </c>
      <c r="T256" s="223">
        <f t="shared" si="253"/>
        <v>0.684734017656345</v>
      </c>
      <c r="U256" s="223">
        <f t="shared" si="253"/>
        <v>0.15986630698108</v>
      </c>
      <c r="V256" s="223">
        <f t="shared" si="253"/>
        <v>1.17472262678164</v>
      </c>
      <c r="W256" s="223">
        <f t="shared" si="253"/>
        <v>0.694071611526062</v>
      </c>
      <c r="X256" s="223">
        <f t="shared" si="253"/>
        <v>0.673975399705784</v>
      </c>
      <c r="Y256" s="223">
        <f t="shared" si="253"/>
        <v>0.161108693568014</v>
      </c>
      <c r="AA256" s="231">
        <f t="shared" ref="AA256:AD256" si="254">-AA224/AA254</f>
        <v>0.673738161790159</v>
      </c>
      <c r="AB256" s="231">
        <f t="shared" si="254"/>
        <v>0.700031541844311</v>
      </c>
      <c r="AC256" s="231">
        <f t="shared" si="254"/>
        <v>0.680915807019496</v>
      </c>
      <c r="AD256" s="231">
        <f t="shared" si="254"/>
        <v>0.668755661418025</v>
      </c>
    </row>
    <row r="257" outlineLevel="1" spans="13:30">
      <c r="M257" s="576"/>
      <c r="P257" s="577"/>
      <c r="Y257" s="197"/>
      <c r="AB257" s="274"/>
      <c r="AD257" s="274"/>
    </row>
    <row r="258" outlineLevel="1" spans="3:30">
      <c r="C258" s="11" t="s">
        <v>311</v>
      </c>
      <c r="D258" s="181" t="s">
        <v>48</v>
      </c>
      <c r="K258" s="206">
        <f>+'DLR-Op-Model'!K223</f>
        <v>216.327900081619</v>
      </c>
      <c r="L258" s="206">
        <f>+'DLR-Op-Model'!L223</f>
        <v>82.7420491388415</v>
      </c>
      <c r="M258" s="671"/>
      <c r="N258" s="274"/>
      <c r="O258" s="274"/>
      <c r="P258" s="672">
        <f t="shared" ref="P258:P261" si="255">+L258</f>
        <v>82.7420491388415</v>
      </c>
      <c r="Q258" s="274">
        <f>+'DLR-Op-Model'!M223+'DFT-Op-Model'!M212</f>
        <v>35.6481240400143</v>
      </c>
      <c r="R258" s="274">
        <f>+'DLR-Op-Model'!N223+'DFT-Op-Model'!N212</f>
        <v>216.364062173174</v>
      </c>
      <c r="S258" s="274">
        <f>+'DLR-Op-Model'!O223+'DFT-Op-Model'!O212</f>
        <v>220.20441857949</v>
      </c>
      <c r="T258" s="274">
        <f>+'DLR-Op-Model'!P223+'DFT-Op-Model'!P212</f>
        <v>157.571796879961</v>
      </c>
      <c r="U258" s="274">
        <f>+'DLR-Op-Model'!Q223+'DFT-Op-Model'!Q212</f>
        <v>29.1380982987202</v>
      </c>
      <c r="V258" s="274">
        <f>+'DLR-Op-Model'!R223+'DFT-Op-Model'!R212</f>
        <v>221.567027587762</v>
      </c>
      <c r="W258" s="274">
        <f>+'DLR-Op-Model'!S223+'DFT-Op-Model'!S212</f>
        <v>246.689225829918</v>
      </c>
      <c r="X258" s="274">
        <f>+'DLR-Op-Model'!T223+'DFT-Op-Model'!T212</f>
        <v>166.181599543116</v>
      </c>
      <c r="Y258" s="274">
        <f>+'DLR-Op-Model'!U223+'DFT-Op-Model'!U212</f>
        <v>27.8216189862002</v>
      </c>
      <c r="AA258" s="274">
        <f t="shared" ref="AA258:AD258" si="256">SUMIF($F$78:$Y$78,AA$78,$F258:$Y258)</f>
        <v>0</v>
      </c>
      <c r="AB258" s="274">
        <f t="shared" si="256"/>
        <v>334.718073260475</v>
      </c>
      <c r="AC258" s="274">
        <f t="shared" si="256"/>
        <v>623.278375931346</v>
      </c>
      <c r="AD258" s="274">
        <f t="shared" si="256"/>
        <v>662.259471946997</v>
      </c>
    </row>
    <row r="259" outlineLevel="1" spans="3:30">
      <c r="C259" s="11" t="s">
        <v>312</v>
      </c>
      <c r="D259" s="181" t="s">
        <v>48</v>
      </c>
      <c r="K259" s="206">
        <f>+'DLR-Op-Model'!K224</f>
        <v>24.0364333424021</v>
      </c>
      <c r="L259" s="206">
        <f>+'DLR-Op-Model'!L224</f>
        <v>9.19356101542683</v>
      </c>
      <c r="M259" s="671"/>
      <c r="N259" s="274"/>
      <c r="O259" s="274"/>
      <c r="P259" s="672">
        <f t="shared" si="255"/>
        <v>9.19356101542683</v>
      </c>
      <c r="Q259" s="274">
        <f>+'DLR-Op-Model'!M224+'DFT-Op-Model'!M213</f>
        <v>3.9609026711127</v>
      </c>
      <c r="R259" s="274">
        <f>+'DLR-Op-Model'!N224+'DFT-Op-Model'!N213</f>
        <v>24.0404513525749</v>
      </c>
      <c r="S259" s="274">
        <f>+'DLR-Op-Model'!O224+'DFT-Op-Model'!O213</f>
        <v>24.4671576199434</v>
      </c>
      <c r="T259" s="274">
        <f>+'DLR-Op-Model'!P224+'DFT-Op-Model'!P213</f>
        <v>17.5079774311068</v>
      </c>
      <c r="U259" s="274">
        <f>+'DLR-Op-Model'!Q224+'DFT-Op-Model'!Q213</f>
        <v>3.23756647763558</v>
      </c>
      <c r="V259" s="274">
        <f>+'DLR-Op-Model'!R224+'DFT-Op-Model'!R213</f>
        <v>24.6185586208624</v>
      </c>
      <c r="W259" s="274">
        <f>+'DLR-Op-Model'!S224+'DFT-Op-Model'!S213</f>
        <v>27.409913981102</v>
      </c>
      <c r="X259" s="274">
        <f>+'DLR-Op-Model'!T224+'DFT-Op-Model'!T213</f>
        <v>18.4646221714573</v>
      </c>
      <c r="Y259" s="274">
        <f>+'DLR-Op-Model'!U224+'DFT-Op-Model'!U213</f>
        <v>3.09129099846669</v>
      </c>
      <c r="AA259" s="274">
        <f t="shared" ref="AA259:AD259" si="257">SUMIF($F$78:$Y$78,AA$78,$F259:$Y259)</f>
        <v>0</v>
      </c>
      <c r="AB259" s="274">
        <f t="shared" si="257"/>
        <v>37.1908970289417</v>
      </c>
      <c r="AC259" s="274">
        <f t="shared" si="257"/>
        <v>69.2531528812607</v>
      </c>
      <c r="AD259" s="274">
        <f t="shared" si="257"/>
        <v>73.5843857718885</v>
      </c>
    </row>
    <row r="260" outlineLevel="1" spans="13:16">
      <c r="M260" s="576"/>
      <c r="P260" s="577"/>
    </row>
    <row r="261" outlineLevel="1" spans="3:30">
      <c r="C261" s="11" t="s">
        <v>313</v>
      </c>
      <c r="D261" s="9" t="s">
        <v>229</v>
      </c>
      <c r="F261" s="343"/>
      <c r="G261" s="343"/>
      <c r="H261" s="343"/>
      <c r="I261" s="343"/>
      <c r="J261" s="343"/>
      <c r="K261" s="684">
        <f>+'DLR-Op-Model'!K226</f>
        <v>0.203664068313863</v>
      </c>
      <c r="L261" s="684">
        <f>+'DLR-Op-Model'!L226</f>
        <v>0.077898330922105</v>
      </c>
      <c r="M261" s="685"/>
      <c r="N261" s="343"/>
      <c r="O261" s="343"/>
      <c r="P261" s="686">
        <f t="shared" si="255"/>
        <v>0.077898330922105</v>
      </c>
      <c r="Q261" s="343">
        <f>+Q259/Buyer_Share_Price</f>
        <v>0.0335612834359659</v>
      </c>
      <c r="R261" s="343">
        <f>+R259/Buyer_Share_Price</f>
        <v>0.203698113477164</v>
      </c>
      <c r="S261" s="343">
        <f>+S259/Buyer_Share_Price</f>
        <v>0.207313655481642</v>
      </c>
      <c r="T261" s="343">
        <f>+T259/Buyer_Share_Price</f>
        <v>0.148347546442186</v>
      </c>
      <c r="U261" s="343">
        <f>+U259/Buyer_Share_Price</f>
        <v>0.0274323544961496</v>
      </c>
      <c r="V261" s="343">
        <f>+V259/Buyer_Share_Price</f>
        <v>0.208596497380634</v>
      </c>
      <c r="W261" s="343">
        <f>+W259/Buyer_Share_Price</f>
        <v>0.232248042544501</v>
      </c>
      <c r="X261" s="343">
        <f>+X259/Buyer_Share_Price</f>
        <v>0.156453331396859</v>
      </c>
      <c r="Y261" s="343">
        <f>+Y259/Buyer_Share_Price</f>
        <v>0.0261929418612666</v>
      </c>
      <c r="AA261" s="312">
        <f t="shared" ref="AA261:AD261" si="258">SUMIF($F$78:$Y$78,AA$78,$F261:$Y261)</f>
        <v>0</v>
      </c>
      <c r="AB261" s="312">
        <f t="shared" si="258"/>
        <v>0.315123682671934</v>
      </c>
      <c r="AC261" s="312">
        <f t="shared" si="258"/>
        <v>0.586791669897142</v>
      </c>
      <c r="AD261" s="312">
        <f t="shared" si="258"/>
        <v>0.623490813183261</v>
      </c>
    </row>
    <row r="263" spans="2:30">
      <c r="B263" s="254"/>
      <c r="C263" s="254"/>
      <c r="D263" s="255"/>
      <c r="E263" s="256"/>
      <c r="F263" s="257" t="str">
        <f>$F$82</f>
        <v>Historical:</v>
      </c>
      <c r="G263" s="257"/>
      <c r="H263" s="257"/>
      <c r="I263" s="257"/>
      <c r="J263" s="296"/>
      <c r="K263" s="297" t="str">
        <f>$K$82</f>
        <v>Projected:</v>
      </c>
      <c r="L263" s="257"/>
      <c r="M263" s="297" t="str">
        <f>$M$82</f>
        <v>Transaction Adjustments:</v>
      </c>
      <c r="N263" s="257"/>
      <c r="O263" s="257"/>
      <c r="P263" s="296"/>
      <c r="Q263" s="257" t="str">
        <f>$Q$82</f>
        <v>Projected:</v>
      </c>
      <c r="R263" s="257"/>
      <c r="S263" s="257"/>
      <c r="T263" s="257"/>
      <c r="U263" s="257"/>
      <c r="V263" s="257"/>
      <c r="W263" s="257"/>
      <c r="X263" s="257"/>
      <c r="Y263" s="257"/>
      <c r="AA263" s="257" t="str">
        <f>$AA$82</f>
        <v>Historical:</v>
      </c>
      <c r="AB263" s="297" t="str">
        <f>$AB$82</f>
        <v>Projected:</v>
      </c>
      <c r="AC263" s="257"/>
      <c r="AD263" s="257"/>
    </row>
    <row r="264" spans="2:30">
      <c r="B264" s="173" t="s">
        <v>314</v>
      </c>
      <c r="C264" s="173"/>
      <c r="D264" s="174" t="str">
        <f>+$D$5</f>
        <v>Units:</v>
      </c>
      <c r="E264" s="175"/>
      <c r="F264" s="258">
        <f>$F$83</f>
        <v>42460</v>
      </c>
      <c r="G264" s="259">
        <f>$G$83</f>
        <v>42551</v>
      </c>
      <c r="H264" s="260">
        <f>$H$83</f>
        <v>42643</v>
      </c>
      <c r="I264" s="298">
        <f>$I$83</f>
        <v>42735</v>
      </c>
      <c r="J264" s="258">
        <f>$J$83</f>
        <v>42825</v>
      </c>
      <c r="K264" s="299">
        <f>$K$83</f>
        <v>42916</v>
      </c>
      <c r="L264" s="260">
        <f>$L$83</f>
        <v>43008</v>
      </c>
      <c r="M264" s="550" t="str">
        <f>$M$83</f>
        <v>Seller</v>
      </c>
      <c r="N264" s="260" t="str">
        <f>$N$83</f>
        <v>Debit</v>
      </c>
      <c r="O264" s="260" t="str">
        <f>$O$83</f>
        <v>Credit</v>
      </c>
      <c r="P264" s="551">
        <f>$P$83</f>
        <v>43008</v>
      </c>
      <c r="Q264" s="298">
        <f>$Q$83</f>
        <v>43100</v>
      </c>
      <c r="R264" s="258">
        <f>$R$83</f>
        <v>43190</v>
      </c>
      <c r="S264" s="259">
        <f>$S$83</f>
        <v>43281</v>
      </c>
      <c r="T264" s="260">
        <f>$T$83</f>
        <v>43373</v>
      </c>
      <c r="U264" s="298">
        <f>$U$83</f>
        <v>43465</v>
      </c>
      <c r="V264" s="258">
        <f>$V$83</f>
        <v>43555</v>
      </c>
      <c r="W264" s="259">
        <f>$W$83</f>
        <v>43646</v>
      </c>
      <c r="X264" s="260">
        <f>$X$83</f>
        <v>43738</v>
      </c>
      <c r="Y264" s="298">
        <f>$Y$83</f>
        <v>43830</v>
      </c>
      <c r="AA264" s="313">
        <f>$AA$83</f>
        <v>42735</v>
      </c>
      <c r="AB264" s="314">
        <f>$AB$83</f>
        <v>43100</v>
      </c>
      <c r="AC264" s="176">
        <f>$AC$83</f>
        <v>43465</v>
      </c>
      <c r="AD264" s="176">
        <f>$AD$83</f>
        <v>43830</v>
      </c>
    </row>
    <row r="265" outlineLevel="1" spans="13:16">
      <c r="M265" s="648"/>
      <c r="N265" s="212"/>
      <c r="O265" s="212"/>
      <c r="P265" s="649"/>
    </row>
    <row r="266" outlineLevel="1" spans="3:30">
      <c r="C266" s="11" t="s">
        <v>315</v>
      </c>
      <c r="D266" s="181" t="s">
        <v>48</v>
      </c>
      <c r="F266" s="324">
        <f>(SUM(F86:F87)+SUM(F90:F94)+SUM(F98:F101)+F104+F106)*Num_Periods</f>
        <v>1148.528</v>
      </c>
      <c r="G266" s="324">
        <f>(SUM(G86:G87)+SUM(G90:G94)+SUM(G98:G101)+G104+G106)*Num_Periods</f>
        <v>1151.568</v>
      </c>
      <c r="H266" s="324">
        <f>(SUM(H86:H87)+SUM(H90:H94)+SUM(H98:H101)+H104+H106)*Num_Periods</f>
        <v>1175.532</v>
      </c>
      <c r="I266" s="324">
        <f>(SUM(I86:I87)+SUM(I90:I94)+SUM(I98:I101)+I104+I106)*Num_Periods</f>
        <v>1310.812</v>
      </c>
      <c r="J266" s="324">
        <f>(SUM(J86:J87)+SUM(J90:J94)+SUM(J98:J101)+J104+J106)*Num_Periods</f>
        <v>1254.996</v>
      </c>
      <c r="K266" s="324">
        <f>(SUM(K86:K87)+SUM(K90:K94)+SUM(K98:K101)+K104+K106)*Num_Periods</f>
        <v>1196.49949016941</v>
      </c>
      <c r="L266" s="324">
        <f>(SUM(L86:L87)+SUM(L90:L94)+SUM(L98:L101)+L104+L106)*Num_Periods</f>
        <v>1252.59728694049</v>
      </c>
      <c r="M266" s="675"/>
      <c r="N266" s="324"/>
      <c r="O266" s="324"/>
      <c r="P266" s="687">
        <f t="shared" ref="P266:P268" si="259">+L266</f>
        <v>1252.59728694049</v>
      </c>
      <c r="Q266" s="324">
        <f>(SUM(Q86:Q87)+SUM(Q90:Q94)+SUM(Q98:Q101)+Q104+Q106)*Num_Periods</f>
        <v>1648.75892831897</v>
      </c>
      <c r="R266" s="324">
        <f>(SUM(R86:R87)+SUM(R90:R94)+SUM(R98:R101)+R104+R106)*Num_Periods</f>
        <v>1786.35455455849</v>
      </c>
      <c r="S266" s="324">
        <f>(SUM(S86:S87)+SUM(S90:S94)+SUM(S98:S101)+S104+S106)*Num_Periods</f>
        <v>1709.2219821317</v>
      </c>
      <c r="T266" s="324">
        <f>(SUM(T86:T87)+SUM(T90:T94)+SUM(T98:T101)+T104+T106)*Num_Periods</f>
        <v>1807.86487557083</v>
      </c>
      <c r="U266" s="324">
        <f>(SUM(U86:U87)+SUM(U90:U94)+SUM(U98:U101)+U104+U106)*Num_Periods</f>
        <v>1900.38054874091</v>
      </c>
      <c r="V266" s="324">
        <f>(SUM(V86:V87)+SUM(V90:V94)+SUM(V98:V101)+V104+V106)*Num_Periods</f>
        <v>2077.25669278009</v>
      </c>
      <c r="W266" s="324">
        <f>(SUM(W86:W87)+SUM(W90:W94)+SUM(W98:W101)+W104+W106)*Num_Periods</f>
        <v>1986.6836195434</v>
      </c>
      <c r="X266" s="324">
        <f>(SUM(X86:X87)+SUM(X90:X94)+SUM(X98:X101)+X104+X106)*Num_Periods</f>
        <v>2089.38588716496</v>
      </c>
      <c r="Y266" s="324">
        <f>(SUM(Y86:Y87)+SUM(Y90:Y94)+SUM(Y98:Y101)+Y104+Y106)*Num_Periods</f>
        <v>2158.24233895531</v>
      </c>
      <c r="AA266" s="324">
        <f t="shared" ref="AA266:AD266" si="260">SUM(AA86:AA87)+SUM(AA90:AA94)+SUM(AA98:AA101)+AA104+AA106</f>
        <v>1196.61</v>
      </c>
      <c r="AB266" s="324">
        <f t="shared" si="260"/>
        <v>1338.21292635722</v>
      </c>
      <c r="AC266" s="324">
        <f t="shared" si="260"/>
        <v>1800.95549025048</v>
      </c>
      <c r="AD266" s="324">
        <f t="shared" si="260"/>
        <v>2077.89213461094</v>
      </c>
    </row>
    <row r="267" outlineLevel="1" spans="3:30">
      <c r="C267" s="344" t="s">
        <v>316</v>
      </c>
      <c r="D267" s="736" t="s">
        <v>56</v>
      </c>
      <c r="F267" s="345"/>
      <c r="G267" s="345"/>
      <c r="H267" s="345"/>
      <c r="I267" s="345"/>
      <c r="J267" s="345">
        <f t="shared" ref="J267:L267" si="261">+J266/F266-1</f>
        <v>0.0926995249571623</v>
      </c>
      <c r="K267" s="345">
        <f t="shared" si="261"/>
        <v>0.039017661283925</v>
      </c>
      <c r="L267" s="345">
        <f t="shared" si="261"/>
        <v>0.0655577959089966</v>
      </c>
      <c r="M267" s="688"/>
      <c r="N267" s="345"/>
      <c r="O267" s="345"/>
      <c r="P267" s="689">
        <f t="shared" si="259"/>
        <v>0.0655577959089966</v>
      </c>
      <c r="Q267" s="345">
        <f t="shared" ref="Q267:Y267" si="262">+Q266/P266-1</f>
        <v>0.316272153475688</v>
      </c>
      <c r="R267" s="345">
        <f t="shared" si="262"/>
        <v>0.0834540598241418</v>
      </c>
      <c r="S267" s="345">
        <f t="shared" si="262"/>
        <v>-0.0431787587911695</v>
      </c>
      <c r="T267" s="345">
        <f t="shared" si="262"/>
        <v>0.0577121605445901</v>
      </c>
      <c r="U267" s="345">
        <f t="shared" si="262"/>
        <v>0.0511739978027246</v>
      </c>
      <c r="V267" s="345">
        <f t="shared" si="262"/>
        <v>0.093074065695089</v>
      </c>
      <c r="W267" s="345">
        <f t="shared" si="262"/>
        <v>-0.0436022536605571</v>
      </c>
      <c r="X267" s="345">
        <f t="shared" si="262"/>
        <v>0.0516953311595534</v>
      </c>
      <c r="Y267" s="345">
        <f t="shared" si="262"/>
        <v>0.0329553541130594</v>
      </c>
      <c r="AA267" s="345"/>
      <c r="AB267" s="345">
        <f t="shared" ref="AB267:AD267" si="263">+AB266/AA266-1</f>
        <v>0.118336739921292</v>
      </c>
      <c r="AC267" s="345">
        <f t="shared" si="263"/>
        <v>0.345791431826105</v>
      </c>
      <c r="AD267" s="345">
        <f t="shared" si="263"/>
        <v>0.153772064806523</v>
      </c>
    </row>
    <row r="268" outlineLevel="1" spans="3:30">
      <c r="C268" s="344" t="s">
        <v>317</v>
      </c>
      <c r="D268" s="736" t="s">
        <v>56</v>
      </c>
      <c r="F268" s="345">
        <f>+F266/((SUM(F86:F87)+SUM(F90:F94))*Num_Periods)</f>
        <v>0.569481494409945</v>
      </c>
      <c r="G268" s="345">
        <f>+G266/((SUM(G86:G87)+SUM(G90:G94))*Num_Periods)</f>
        <v>0.559085241992178</v>
      </c>
      <c r="H268" s="345">
        <f>+H266/((SUM(H86:H87)+SUM(H90:H94))*Num_Periods)</f>
        <v>0.53795856802119</v>
      </c>
      <c r="I268" s="345">
        <f>+I266/((SUM(I86:I87)+SUM(I90:I94))*Num_Periods)</f>
        <v>0.568152541579474</v>
      </c>
      <c r="J268" s="345">
        <f>+J266/((SUM(J86:J87)+SUM(J90:J94))*Num_Periods)</f>
        <v>0.569863177912305</v>
      </c>
      <c r="K268" s="345">
        <f>+K266/((SUM(K86:K87)+SUM(K90:K94))*Num_Periods)</f>
        <v>0.564650030851877</v>
      </c>
      <c r="L268" s="345">
        <f>+L266/((SUM(L86:L87)+SUM(L90:L94))*Num_Periods)</f>
        <v>0.547105554235612</v>
      </c>
      <c r="M268" s="688"/>
      <c r="N268" s="345"/>
      <c r="O268" s="345"/>
      <c r="P268" s="689">
        <f t="shared" si="259"/>
        <v>0.547105554235612</v>
      </c>
      <c r="Q268" s="345">
        <f>+Q266/((SUM(Q86:Q87)+SUM(Q90:Q94))*Num_Periods)</f>
        <v>0.55523660291384</v>
      </c>
      <c r="R268" s="345">
        <f>+R266/((SUM(R86:R87)+SUM(R90:R94))*Num_Periods)</f>
        <v>0.574655159037284</v>
      </c>
      <c r="S268" s="345">
        <f>+S266/((SUM(S86:S87)+SUM(S90:S94))*Num_Periods)</f>
        <v>0.567414740454236</v>
      </c>
      <c r="T268" s="345">
        <f>+T266/((SUM(T86:T87)+SUM(T90:T94))*Num_Periods)</f>
        <v>0.55727680639324</v>
      </c>
      <c r="U268" s="345">
        <f>+U266/((SUM(U86:U87)+SUM(U90:U94))*Num_Periods)</f>
        <v>0.567159238816012</v>
      </c>
      <c r="V268" s="345">
        <f>+V266/((SUM(V86:V87)+SUM(V90:V94))*Num_Periods)</f>
        <v>0.583717083869118</v>
      </c>
      <c r="W268" s="345">
        <f>+W266/((SUM(W86:W87)+SUM(W90:W94))*Num_Periods)</f>
        <v>0.576992005389632</v>
      </c>
      <c r="X268" s="345">
        <f>+X266/((SUM(X86:X87)+SUM(X90:X94))*Num_Periods)</f>
        <v>0.566272507767779</v>
      </c>
      <c r="Y268" s="345">
        <f>+Y266/((SUM(Y86:Y87)+SUM(Y90:Y94))*Num_Periods)</f>
        <v>0.565771262168366</v>
      </c>
      <c r="AA268" s="345">
        <f t="shared" ref="AA268:AD268" si="264">+AA266/(SUM(AA86:AA87)+SUM(AA90:AA94))</f>
        <v>0.558585910924824</v>
      </c>
      <c r="AB268" s="345">
        <f t="shared" si="264"/>
        <v>0.558737854565349</v>
      </c>
      <c r="AC268" s="345">
        <f t="shared" si="264"/>
        <v>0.566531003635645</v>
      </c>
      <c r="AD268" s="345">
        <f t="shared" si="264"/>
        <v>0.572964552407832</v>
      </c>
    </row>
    <row r="269" outlineLevel="1" spans="13:16">
      <c r="M269" s="576"/>
      <c r="P269" s="577"/>
    </row>
    <row r="270" outlineLevel="1" spans="3:30">
      <c r="C270" s="11" t="s">
        <v>318</v>
      </c>
      <c r="D270" s="181" t="s">
        <v>48</v>
      </c>
      <c r="F270" s="289">
        <f>(SUM(F86:F87)+SUM(F90:F91)+SUM(F93:F94)+SUM(F98:F99)+F106)*Num_Periods</f>
        <v>1266.356</v>
      </c>
      <c r="G270" s="289">
        <f>(SUM(G86:G87)+SUM(G90:G91)+SUM(G93:G94)+SUM(G98:G99)+G106)*Num_Periods</f>
        <v>1283.32</v>
      </c>
      <c r="H270" s="289">
        <f>(SUM(H86:H87)+SUM(H90:H91)+SUM(H93:H94)+SUM(H98:H99)+H106)*Num_Periods</f>
        <v>1354.004</v>
      </c>
      <c r="I270" s="289">
        <f>(SUM(I86:I87)+SUM(I90:I91)+SUM(I93:I94)+SUM(I98:I99)+I106)*Num_Periods</f>
        <v>1468.552</v>
      </c>
      <c r="J270" s="289">
        <f>(SUM(J86:J87)+SUM(J90:J91)+SUM(J93:J94)+SUM(J98:J99)+J106)*Num_Periods</f>
        <v>1386.004</v>
      </c>
      <c r="K270" s="289">
        <f>(SUM(K86:K87)+SUM(K90:K91)+SUM(K93:K94)+SUM(K98:K99)+K106)*Num_Periods</f>
        <v>1329.618862596</v>
      </c>
      <c r="L270" s="289">
        <f>(SUM(L86:L87)+SUM(L90:L91)+SUM(L93:L94)+SUM(L98:L99)+L106)*Num_Periods</f>
        <v>1429.187352192</v>
      </c>
      <c r="M270" s="658"/>
      <c r="N270" s="289"/>
      <c r="O270" s="289"/>
      <c r="P270" s="615">
        <f>+L270</f>
        <v>1429.187352192</v>
      </c>
      <c r="Q270" s="289">
        <f>(SUM(Q86:Q87)+SUM(Q90:Q91)+SUM(Q93:Q94)+SUM(Q98:Q99)+Q106)*Num_Periods</f>
        <v>1853.03812057125</v>
      </c>
      <c r="R270" s="289">
        <f>(SUM(R86:R87)+SUM(R90:R91)+SUM(R93:R94)+SUM(R98:R99)+R106)*Num_Periods</f>
        <v>1974.50312060704</v>
      </c>
      <c r="S270" s="289">
        <f>(SUM(S86:S87)+SUM(S90:S91)+SUM(S93:S94)+SUM(S98:S99)+S106)*Num_Periods</f>
        <v>1902.05710703876</v>
      </c>
      <c r="T270" s="289">
        <f>(SUM(T86:T87)+SUM(T90:T91)+SUM(T93:T94)+SUM(T98:T99)+T106)*Num_Periods</f>
        <v>2050.66562625058</v>
      </c>
      <c r="U270" s="289">
        <f>(SUM(U86:U87)+SUM(U90:U91)+SUM(U93:U94)+SUM(U98:U99)+U106)*Num_Periods</f>
        <v>2091.80514348302</v>
      </c>
      <c r="V270" s="289">
        <f>(SUM(V86:V87)+SUM(V90:V91)+SUM(V93:V94)+SUM(V98:V99)+V106)*Num_Periods</f>
        <v>2253.79961015346</v>
      </c>
      <c r="W270" s="289">
        <f>(SUM(W86:W87)+SUM(W90:W91)+SUM(W93:W94)+SUM(W98:W99)+W106)*Num_Periods</f>
        <v>2167.76814751407</v>
      </c>
      <c r="X270" s="289">
        <f>(SUM(X86:X87)+SUM(X90:X91)+SUM(X93:X94)+SUM(X98:X99)+X106)*Num_Periods</f>
        <v>2325.77423402674</v>
      </c>
      <c r="Y270" s="289">
        <f>(SUM(Y86:Y87)+SUM(Y90:Y91)+SUM(Y93:Y94)+SUM(Y98:Y99)+Y106)*Num_Periods</f>
        <v>2377.98027791907</v>
      </c>
      <c r="AA270" s="289">
        <f t="shared" ref="AA270:AD270" si="265">SUM(AA86:AA87)+SUM(AA90:AA91)+SUM(AA93:AA94)+SUM(AA98:AA99)+AA106</f>
        <v>1343.058</v>
      </c>
      <c r="AB270" s="289">
        <f t="shared" si="265"/>
        <v>1499.46208383981</v>
      </c>
      <c r="AC270" s="289">
        <f t="shared" si="265"/>
        <v>2004.75774934485</v>
      </c>
      <c r="AD270" s="289">
        <f t="shared" si="265"/>
        <v>2281.33056740333</v>
      </c>
    </row>
    <row r="271" outlineLevel="1" spans="3:30">
      <c r="C271" s="344" t="s">
        <v>319</v>
      </c>
      <c r="D271" s="736" t="s">
        <v>56</v>
      </c>
      <c r="F271" s="345"/>
      <c r="G271" s="345"/>
      <c r="H271" s="345"/>
      <c r="I271" s="345"/>
      <c r="J271" s="345">
        <f t="shared" ref="J271:L271" si="266">+J270/F270-1</f>
        <v>0.0944821203516233</v>
      </c>
      <c r="K271" s="345">
        <f t="shared" si="266"/>
        <v>0.0360774106193311</v>
      </c>
      <c r="L271" s="345">
        <f t="shared" si="266"/>
        <v>0.0555266839625286</v>
      </c>
      <c r="M271" s="688"/>
      <c r="N271" s="345"/>
      <c r="O271" s="345"/>
      <c r="P271" s="689">
        <f>+L271</f>
        <v>0.0555266839625286</v>
      </c>
      <c r="Q271" s="345">
        <f t="shared" ref="Q271:Y271" si="267">+Q270/P270-1</f>
        <v>0.296567673740728</v>
      </c>
      <c r="R271" s="345">
        <f t="shared" si="267"/>
        <v>0.0655491102354377</v>
      </c>
      <c r="S271" s="345">
        <f t="shared" si="267"/>
        <v>-0.0366907566831343</v>
      </c>
      <c r="T271" s="345">
        <f t="shared" si="267"/>
        <v>0.0781304192507577</v>
      </c>
      <c r="U271" s="345">
        <f t="shared" si="267"/>
        <v>0.0200615432890714</v>
      </c>
      <c r="V271" s="345">
        <f t="shared" si="267"/>
        <v>0.0774424267839311</v>
      </c>
      <c r="W271" s="345">
        <f t="shared" si="267"/>
        <v>-0.0381717443963568</v>
      </c>
      <c r="X271" s="345">
        <f t="shared" si="267"/>
        <v>0.0728888311666835</v>
      </c>
      <c r="Y271" s="345">
        <f t="shared" si="267"/>
        <v>0.0224467375760473</v>
      </c>
      <c r="AA271" s="345"/>
      <c r="AB271" s="345">
        <f t="shared" ref="AB271:AD271" si="268">+AB270/AA270-1</f>
        <v>0.116453707762295</v>
      </c>
      <c r="AC271" s="345">
        <f t="shared" si="268"/>
        <v>0.336984623319773</v>
      </c>
      <c r="AD271" s="345">
        <f t="shared" si="268"/>
        <v>0.137958223705015</v>
      </c>
    </row>
    <row r="272" outlineLevel="1" spans="13:16">
      <c r="M272" s="576"/>
      <c r="P272" s="577"/>
    </row>
    <row r="273" outlineLevel="1" spans="3:29">
      <c r="C273" s="346" t="s">
        <v>320</v>
      </c>
      <c r="D273" s="736" t="s">
        <v>56</v>
      </c>
      <c r="F273" s="345">
        <f t="shared" ref="F273:K273" si="269">+G270/F160</f>
        <v>0.115584091813031</v>
      </c>
      <c r="G273" s="345">
        <f t="shared" si="269"/>
        <v>0.12330822794943</v>
      </c>
      <c r="H273" s="345">
        <f t="shared" si="269"/>
        <v>0.12756855644155</v>
      </c>
      <c r="I273" s="345">
        <f t="shared" si="269"/>
        <v>0.119912420927028</v>
      </c>
      <c r="J273" s="345">
        <f t="shared" si="269"/>
        <v>0.112024458882274</v>
      </c>
      <c r="K273" s="345">
        <f t="shared" si="269"/>
        <v>0.118474441208355</v>
      </c>
      <c r="L273" s="345"/>
      <c r="M273" s="688"/>
      <c r="N273" s="345"/>
      <c r="O273" s="345"/>
      <c r="P273" s="689">
        <f t="shared" ref="P273:X273" si="270">+Q270/P160</f>
        <v>0.113382739841677</v>
      </c>
      <c r="Q273" s="345">
        <f t="shared" si="270"/>
        <v>0.118685829955057</v>
      </c>
      <c r="R273" s="345">
        <f t="shared" si="270"/>
        <v>0.112194680035689</v>
      </c>
      <c r="S273" s="345">
        <f t="shared" si="270"/>
        <v>0.118843166313691</v>
      </c>
      <c r="T273" s="345">
        <f t="shared" si="270"/>
        <v>0.119089620280274</v>
      </c>
      <c r="U273" s="345">
        <f t="shared" si="270"/>
        <v>0.126005986524018</v>
      </c>
      <c r="V273" s="345">
        <f t="shared" si="270"/>
        <v>0.118852589912006</v>
      </c>
      <c r="W273" s="345">
        <f t="shared" si="270"/>
        <v>0.125177312129065</v>
      </c>
      <c r="X273" s="345">
        <f t="shared" si="270"/>
        <v>0.125700654075691</v>
      </c>
      <c r="Y273" s="345"/>
      <c r="AA273" s="345">
        <f t="shared" ref="AA273:AC273" si="271">+AB270/AA160</f>
        <v>0.129728434089308</v>
      </c>
      <c r="AB273" s="345">
        <f t="shared" si="271"/>
        <v>0.120504411898156</v>
      </c>
      <c r="AC273" s="345">
        <f t="shared" si="271"/>
        <v>0.127545194097128</v>
      </c>
    </row>
    <row r="274" outlineLevel="1" spans="13:16">
      <c r="M274" s="576"/>
      <c r="P274" s="577"/>
    </row>
    <row r="275" outlineLevel="1" spans="3:30">
      <c r="C275" s="11" t="s">
        <v>321</v>
      </c>
      <c r="D275" s="279" t="s">
        <v>65</v>
      </c>
      <c r="F275" s="233"/>
      <c r="G275" s="233"/>
      <c r="H275" s="233"/>
      <c r="I275" s="233"/>
      <c r="J275" s="233"/>
      <c r="K275" s="233">
        <f>-K224/K128</f>
        <v>0.897126323024092</v>
      </c>
      <c r="L275" s="233">
        <f>-L224/L128</f>
        <v>0.980905647091385</v>
      </c>
      <c r="M275" s="602"/>
      <c r="N275" s="233"/>
      <c r="O275" s="233"/>
      <c r="P275" s="603"/>
      <c r="Q275" s="233">
        <f t="shared" ref="Q275:Y275" si="272">-Q224/Q130</f>
        <v>0.210624458047263</v>
      </c>
      <c r="R275" s="233">
        <f t="shared" si="272"/>
        <v>1.7733713011631</v>
      </c>
      <c r="S275" s="233">
        <f t="shared" si="272"/>
        <v>1.00965561453844</v>
      </c>
      <c r="T275" s="233">
        <f t="shared" si="272"/>
        <v>1.04446066871065</v>
      </c>
      <c r="U275" s="233">
        <f t="shared" si="272"/>
        <v>0.254972660386801</v>
      </c>
      <c r="V275" s="233">
        <f t="shared" si="272"/>
        <v>2.01305268182508</v>
      </c>
      <c r="W275" s="233">
        <f t="shared" si="272"/>
        <v>1.15495631339814</v>
      </c>
      <c r="X275" s="233">
        <f t="shared" si="272"/>
        <v>1.20359687230621</v>
      </c>
      <c r="Y275" s="233">
        <f t="shared" si="272"/>
        <v>0.290944421566103</v>
      </c>
      <c r="AB275" s="233">
        <f t="shared" ref="AB275:AD275" si="273">-AB224/AB130</f>
        <v>3.05240682652655</v>
      </c>
      <c r="AC275" s="233">
        <f t="shared" si="273"/>
        <v>4.08109688493118</v>
      </c>
      <c r="AD275" s="233">
        <f t="shared" si="273"/>
        <v>4.66089010078579</v>
      </c>
    </row>
    <row r="276" outlineLevel="1" spans="3:30">
      <c r="C276" s="344" t="s">
        <v>322</v>
      </c>
      <c r="D276" s="736" t="s">
        <v>56</v>
      </c>
      <c r="K276" s="345">
        <f>+K275*Num_Periods/Buyer_Share_Price</f>
        <v>0.0304059082536551</v>
      </c>
      <c r="L276" s="345">
        <f>+L275*Num_Periods/Buyer_Share_Price</f>
        <v>0.0332454040702045</v>
      </c>
      <c r="M276" s="688"/>
      <c r="N276" s="345"/>
      <c r="O276" s="345"/>
      <c r="P276" s="689"/>
      <c r="Q276" s="345">
        <f>+Q275*Num_Periods/Buyer_Share_Price</f>
        <v>0.0071386022046183</v>
      </c>
      <c r="R276" s="345">
        <f>+R275*Num_Periods/Buyer_Share_Price</f>
        <v>0.0601040942607388</v>
      </c>
      <c r="S276" s="345">
        <f>+S275*Num_Periods/Buyer_Share_Price</f>
        <v>0.0342198140836619</v>
      </c>
      <c r="T276" s="345">
        <f>+T275*Num_Periods/Buyer_Share_Price</f>
        <v>0.0353994464907862</v>
      </c>
      <c r="U276" s="345">
        <f>+U275*Num_Periods/Buyer_Share_Price</f>
        <v>0.00864167633915611</v>
      </c>
      <c r="V276" s="345">
        <f>+V275*Num_Periods/Buyer_Share_Price</f>
        <v>0.0682275099754305</v>
      </c>
      <c r="W276" s="345">
        <f>+W275*Num_Periods/Buyer_Share_Price</f>
        <v>0.0391444268225094</v>
      </c>
      <c r="X276" s="345">
        <f>+X275*Num_Periods/Buyer_Share_Price</f>
        <v>0.0407929799120898</v>
      </c>
      <c r="Y276" s="345">
        <f>+Y275*Num_Periods/Buyer_Share_Price</f>
        <v>0.00986085143420107</v>
      </c>
      <c r="AB276" s="345">
        <f>+AB275/Buyer_Share_Price</f>
        <v>0.0258634708229669</v>
      </c>
      <c r="AC276" s="345">
        <f>+AC275/Buyer_Share_Price</f>
        <v>0.0345797058543567</v>
      </c>
      <c r="AD276" s="345">
        <f>+AD275/Buyer_Share_Price</f>
        <v>0.039492375027841</v>
      </c>
    </row>
    <row r="277" outlineLevel="1" spans="13:16">
      <c r="M277" s="576"/>
      <c r="P277" s="577"/>
    </row>
    <row r="278" outlineLevel="1" spans="3:30">
      <c r="C278" s="11" t="s">
        <v>323</v>
      </c>
      <c r="D278" s="279" t="s">
        <v>58</v>
      </c>
      <c r="F278" s="348">
        <f>-F266/(SUM(F113:F115)*Num_Periods)</f>
        <v>4.96038697417293</v>
      </c>
      <c r="G278" s="348">
        <f>-G266/(SUM(G113:G115)*Num_Periods)</f>
        <v>4.55280387133504</v>
      </c>
      <c r="H278" s="348">
        <f>-H266/(SUM(H113:H115)*Num_Periods)</f>
        <v>4.68496229813962</v>
      </c>
      <c r="I278" s="348">
        <f>-I266/(SUM(I113:I115)*Num_Periods)</f>
        <v>5.72947408909714</v>
      </c>
      <c r="J278" s="348">
        <f>-J266/(SUM(J113:J115)*Num_Periods)</f>
        <v>5.67368306840992</v>
      </c>
      <c r="K278" s="348">
        <f>-K266/(SUM(K113:K115)*Num_Periods)</f>
        <v>5.07743238403713</v>
      </c>
      <c r="L278" s="348">
        <f>-L266/(SUM(L113:L115)*Num_Periods)</f>
        <v>5.00461144189742</v>
      </c>
      <c r="M278" s="690"/>
      <c r="N278" s="348"/>
      <c r="O278" s="348"/>
      <c r="P278" s="691">
        <f>+L278</f>
        <v>5.00461144189742</v>
      </c>
      <c r="Q278" s="348">
        <f>-Q266/(SUM(Q113:Q115)*Num_Periods)</f>
        <v>5.14750645137103</v>
      </c>
      <c r="R278" s="348">
        <f>-R266/(SUM(R113:R115)*Num_Periods)</f>
        <v>5.55236868421724</v>
      </c>
      <c r="S278" s="348">
        <f>-S266/(SUM(S113:S115)*Num_Periods)</f>
        <v>5.04703245868565</v>
      </c>
      <c r="T278" s="348">
        <f>-T266/(SUM(T113:T115)*Num_Periods)</f>
        <v>5.19968795693896</v>
      </c>
      <c r="U278" s="348">
        <f>-U266/(SUM(U113:U115)*Num_Periods)</f>
        <v>5.23807573392224</v>
      </c>
      <c r="V278" s="348">
        <f>-V266/(SUM(V113:V115)*Num_Periods)</f>
        <v>5.5734180535603</v>
      </c>
      <c r="W278" s="348">
        <f>-W266/(SUM(W113:W115)*Num_Periods)</f>
        <v>5.19754177947334</v>
      </c>
      <c r="X278" s="348">
        <f>-X266/(SUM(X113:X115)*Num_Periods)</f>
        <v>5.1975560317919</v>
      </c>
      <c r="Y278" s="348">
        <f>-Y266/(SUM(Y113:Y115)*Num_Periods)</f>
        <v>5.27293235017255</v>
      </c>
      <c r="AA278" s="348">
        <f t="shared" ref="AA278:AD278" si="274">-AA266/SUM(AA113:AA115)</f>
        <v>4.9642803803455</v>
      </c>
      <c r="AB278" s="348">
        <f t="shared" si="274"/>
        <v>5.20990457757998</v>
      </c>
      <c r="AC278" s="348">
        <f t="shared" si="274"/>
        <v>5.25490551338347</v>
      </c>
      <c r="AD278" s="348">
        <f t="shared" si="274"/>
        <v>5.30669188260323</v>
      </c>
    </row>
    <row r="279" outlineLevel="1" spans="3:30">
      <c r="C279" s="11" t="s">
        <v>324</v>
      </c>
      <c r="D279" s="279" t="s">
        <v>58</v>
      </c>
      <c r="E279" s="349">
        <v>1.5</v>
      </c>
      <c r="F279" s="348"/>
      <c r="G279" s="348"/>
      <c r="H279" s="348"/>
      <c r="I279" s="348"/>
      <c r="J279" s="348"/>
      <c r="K279" s="348"/>
      <c r="L279" s="348"/>
      <c r="M279" s="690"/>
      <c r="N279" s="348"/>
      <c r="O279" s="348"/>
      <c r="P279" s="691"/>
      <c r="Q279" s="348"/>
      <c r="R279" s="348"/>
      <c r="S279" s="348"/>
      <c r="AA279" s="348"/>
      <c r="AB279" s="348"/>
      <c r="AC279" s="348"/>
      <c r="AD279" s="348"/>
    </row>
    <row r="280" outlineLevel="1" spans="4:30">
      <c r="D280" s="279"/>
      <c r="F280" s="348"/>
      <c r="G280" s="348"/>
      <c r="H280" s="348"/>
      <c r="I280" s="348"/>
      <c r="J280" s="348"/>
      <c r="K280" s="348"/>
      <c r="L280" s="348"/>
      <c r="M280" s="690"/>
      <c r="N280" s="348"/>
      <c r="O280" s="348"/>
      <c r="P280" s="691"/>
      <c r="Q280" s="348"/>
      <c r="R280" s="348"/>
      <c r="S280" s="348"/>
      <c r="AA280" s="348"/>
      <c r="AB280" s="348"/>
      <c r="AC280" s="348"/>
      <c r="AD280" s="348"/>
    </row>
    <row r="281" outlineLevel="1" spans="3:30">
      <c r="C281" s="11" t="s">
        <v>325</v>
      </c>
      <c r="D281" s="279" t="s">
        <v>58</v>
      </c>
      <c r="F281" s="348">
        <f>-F266/((SUM(F113:F115)+SUM(F123:F124))*Num_Periods)</f>
        <v>3.57534024829098</v>
      </c>
      <c r="G281" s="348">
        <f>-G266/((SUM(G113:G115)+SUM(G123:G124))*Num_Periods)</f>
        <v>3.3609470218777</v>
      </c>
      <c r="H281" s="348">
        <f>-H266/((SUM(H113:H115)+SUM(H123:H124))*Num_Periods)</f>
        <v>3.48785292965737</v>
      </c>
      <c r="I281" s="348">
        <f>-I266/((SUM(I113:I115)+SUM(I123:I124))*Num_Periods)</f>
        <v>4.39344943624395</v>
      </c>
      <c r="J281" s="348">
        <f>-J266/((SUM(J113:J115)+SUM(J123:J124))*Num_Periods)</f>
        <v>4.31614207890827</v>
      </c>
      <c r="K281" s="348">
        <f>-K266/((SUM(K113:K115)+SUM(K123:K124))*Num_Periods)</f>
        <v>3.90301469887185</v>
      </c>
      <c r="L281" s="348">
        <f>-L266/((SUM(L113:L115)+SUM(L123:L124))*Num_Periods)</f>
        <v>3.89979239908049</v>
      </c>
      <c r="M281" s="690"/>
      <c r="N281" s="348"/>
      <c r="O281" s="348"/>
      <c r="P281" s="691">
        <f t="shared" ref="P281:P286" si="275">+L281</f>
        <v>3.89979239908049</v>
      </c>
      <c r="Q281" s="348">
        <f>-Q266/((SUM(Q113:Q115)+SUM(Q123:Q124))*Num_Periods)</f>
        <v>4.10368368391867</v>
      </c>
      <c r="R281" s="348">
        <f>-R266/((SUM(R113:R115)+SUM(R123:R124))*Num_Periods)</f>
        <v>4.43042888791439</v>
      </c>
      <c r="S281" s="348">
        <f>-S266/((SUM(S113:S115)+SUM(S123:S124))*Num_Periods)</f>
        <v>4.06830044346752</v>
      </c>
      <c r="T281" s="348">
        <f>-T266/((SUM(T113:T115)+SUM(T123:T124))*Num_Periods)</f>
        <v>4.21256532048563</v>
      </c>
      <c r="U281" s="348">
        <f>-U266/((SUM(U113:U115)+SUM(U123:U124))*Num_Periods)</f>
        <v>4.27749502902661</v>
      </c>
      <c r="V281" s="348">
        <f>-V266/((SUM(V113:V115)+SUM(V123:V124))*Num_Periods)</f>
        <v>4.57363437059173</v>
      </c>
      <c r="W281" s="348">
        <f>-W266/((SUM(W113:W115)+SUM(W123:W124))*Num_Periods)</f>
        <v>4.28434068283046</v>
      </c>
      <c r="X281" s="348">
        <f>-X266/((SUM(X113:X115)+SUM(X123:X124))*Num_Periods)</f>
        <v>4.32167390329163</v>
      </c>
      <c r="Y281" s="348">
        <f>-Y266/((SUM(Y113:Y115)+SUM(Y123:Y124))*Num_Periods)</f>
        <v>4.39758674612175</v>
      </c>
      <c r="AA281" s="348">
        <f t="shared" ref="AA281:AD281" si="276">-AA266/(SUM(AA113:AA115)+SUM(AA123:AA124))</f>
        <v>3.68397395440481</v>
      </c>
      <c r="AB281" s="348">
        <f t="shared" si="276"/>
        <v>4.05427845420273</v>
      </c>
      <c r="AC281" s="348">
        <f t="shared" si="276"/>
        <v>4.24561594207494</v>
      </c>
      <c r="AD281" s="348">
        <f t="shared" si="276"/>
        <v>4.39269437818097</v>
      </c>
    </row>
    <row r="282" outlineLevel="1" spans="3:30">
      <c r="C282" s="11" t="s">
        <v>324</v>
      </c>
      <c r="D282" s="279" t="s">
        <v>58</v>
      </c>
      <c r="E282" s="349">
        <v>1.5</v>
      </c>
      <c r="F282" s="348"/>
      <c r="G282" s="348"/>
      <c r="H282" s="348"/>
      <c r="I282" s="348"/>
      <c r="J282" s="348"/>
      <c r="K282" s="348"/>
      <c r="L282" s="348"/>
      <c r="M282" s="690"/>
      <c r="N282" s="348"/>
      <c r="O282" s="348"/>
      <c r="P282" s="691"/>
      <c r="Q282" s="348"/>
      <c r="R282" s="348"/>
      <c r="S282" s="348"/>
      <c r="AA282" s="348"/>
      <c r="AB282" s="348"/>
      <c r="AC282" s="348"/>
      <c r="AD282" s="348"/>
    </row>
    <row r="283" outlineLevel="1" spans="4:30">
      <c r="D283" s="279"/>
      <c r="F283" s="348"/>
      <c r="G283" s="348"/>
      <c r="H283" s="348"/>
      <c r="I283" s="348"/>
      <c r="J283" s="348"/>
      <c r="K283" s="348"/>
      <c r="L283" s="348"/>
      <c r="M283" s="690"/>
      <c r="N283" s="348"/>
      <c r="O283" s="348"/>
      <c r="P283" s="691"/>
      <c r="Q283" s="348"/>
      <c r="R283" s="348"/>
      <c r="S283" s="348"/>
      <c r="AA283" s="348"/>
      <c r="AB283" s="348"/>
      <c r="AC283" s="348"/>
      <c r="AD283" s="348"/>
    </row>
    <row r="284" outlineLevel="1" spans="3:30">
      <c r="C284" s="11" t="s">
        <v>326</v>
      </c>
      <c r="D284" s="279" t="s">
        <v>58</v>
      </c>
      <c r="F284" s="348">
        <f t="shared" ref="F284:L284" si="277">+F176/F266</f>
        <v>5.36053975175181</v>
      </c>
      <c r="G284" s="348">
        <f t="shared" si="277"/>
        <v>5.32787121559474</v>
      </c>
      <c r="H284" s="348">
        <f t="shared" si="277"/>
        <v>5.12532793662784</v>
      </c>
      <c r="I284" s="348">
        <f t="shared" si="277"/>
        <v>4.4541909900123</v>
      </c>
      <c r="J284" s="348">
        <f t="shared" si="277"/>
        <v>4.94131375717532</v>
      </c>
      <c r="K284" s="348">
        <f t="shared" si="277"/>
        <v>5.36369380247122</v>
      </c>
      <c r="L284" s="348">
        <f t="shared" si="277"/>
        <v>5.18953618772229</v>
      </c>
      <c r="M284" s="690"/>
      <c r="N284" s="348"/>
      <c r="O284" s="348"/>
      <c r="P284" s="691">
        <f t="shared" si="275"/>
        <v>5.18953618772229</v>
      </c>
      <c r="Q284" s="348">
        <f t="shared" ref="Q284:Y284" si="278">+Q176/Q266</f>
        <v>4.96469597616486</v>
      </c>
      <c r="R284" s="348">
        <f t="shared" si="278"/>
        <v>4.70340608353691</v>
      </c>
      <c r="S284" s="348">
        <f t="shared" si="278"/>
        <v>5.04449122933137</v>
      </c>
      <c r="T284" s="348">
        <f t="shared" si="278"/>
        <v>4.85640670016975</v>
      </c>
      <c r="U284" s="348">
        <f t="shared" si="278"/>
        <v>4.63531643641517</v>
      </c>
      <c r="V284" s="348">
        <f t="shared" si="278"/>
        <v>4.34728757981486</v>
      </c>
      <c r="W284" s="348">
        <f t="shared" si="278"/>
        <v>4.66965215557183</v>
      </c>
      <c r="X284" s="348">
        <f t="shared" si="278"/>
        <v>4.51965484403488</v>
      </c>
      <c r="Y284" s="348">
        <f t="shared" si="278"/>
        <v>4.3883508788702</v>
      </c>
      <c r="AA284" s="348">
        <f t="shared" ref="AA284:AD284" si="279">+AA176/AA266</f>
        <v>4.87928982709488</v>
      </c>
      <c r="AB284" s="348">
        <f t="shared" si="279"/>
        <v>6.11680447548304</v>
      </c>
      <c r="AC284" s="348">
        <f t="shared" si="279"/>
        <v>4.89121760127301</v>
      </c>
      <c r="AD284" s="348">
        <f t="shared" si="279"/>
        <v>4.55804442743259</v>
      </c>
    </row>
    <row r="285" outlineLevel="1" spans="3:30">
      <c r="C285" s="11" t="s">
        <v>327</v>
      </c>
      <c r="D285" s="279" t="s">
        <v>58</v>
      </c>
      <c r="F285" s="348">
        <f t="shared" ref="F285:L285" si="280">(F176-F164)/F266</f>
        <v>5.31636755917139</v>
      </c>
      <c r="G285" s="348">
        <f t="shared" si="280"/>
        <v>5.28311658538619</v>
      </c>
      <c r="H285" s="348">
        <f t="shared" si="280"/>
        <v>5.08438477217124</v>
      </c>
      <c r="I285" s="348">
        <f t="shared" si="280"/>
        <v>4.43738003619131</v>
      </c>
      <c r="J285" s="348">
        <f t="shared" si="280"/>
        <v>4.92107703928937</v>
      </c>
      <c r="K285" s="348">
        <f t="shared" si="280"/>
        <v>5.28659295320865</v>
      </c>
      <c r="L285" s="348">
        <f t="shared" si="280"/>
        <v>5.10675610218703</v>
      </c>
      <c r="M285" s="690"/>
      <c r="N285" s="348"/>
      <c r="O285" s="348"/>
      <c r="P285" s="691">
        <f t="shared" si="275"/>
        <v>5.10675610218703</v>
      </c>
      <c r="Q285" s="348">
        <f t="shared" ref="Q285:Y285" si="281">(Q176-Q164)/Q266</f>
        <v>4.81169399742014</v>
      </c>
      <c r="R285" s="348">
        <f t="shared" si="281"/>
        <v>4.63539980962311</v>
      </c>
      <c r="S285" s="348">
        <f t="shared" si="281"/>
        <v>4.97810350754221</v>
      </c>
      <c r="T285" s="348">
        <f t="shared" si="281"/>
        <v>4.78708096380427</v>
      </c>
      <c r="U285" s="348">
        <f t="shared" si="281"/>
        <v>4.48990648891359</v>
      </c>
      <c r="V285" s="348">
        <f t="shared" si="281"/>
        <v>4.27899718388925</v>
      </c>
      <c r="W285" s="348">
        <f t="shared" si="281"/>
        <v>4.59818456419569</v>
      </c>
      <c r="X285" s="348">
        <f t="shared" si="281"/>
        <v>4.44374861623667</v>
      </c>
      <c r="Y285" s="348">
        <f t="shared" si="281"/>
        <v>4.23072143294173</v>
      </c>
      <c r="AA285" s="348">
        <f t="shared" ref="AA285:AD285" si="282">(AA176-AA164)/AA266</f>
        <v>4.86087447037882</v>
      </c>
      <c r="AB285" s="348">
        <f t="shared" si="282"/>
        <v>5.92829682207655</v>
      </c>
      <c r="AC285" s="348">
        <f t="shared" si="282"/>
        <v>4.73778003031616</v>
      </c>
      <c r="AD285" s="348">
        <f t="shared" si="282"/>
        <v>4.39431959378881</v>
      </c>
    </row>
    <row r="286" outlineLevel="1" spans="3:30">
      <c r="C286" s="11" t="s">
        <v>328</v>
      </c>
      <c r="D286" s="279" t="s">
        <v>58</v>
      </c>
      <c r="F286" s="348">
        <f t="shared" ref="F286:L286" si="283">(F176+F182-F164)/F266</f>
        <v>6.43966189766379</v>
      </c>
      <c r="G286" s="348">
        <f t="shared" si="283"/>
        <v>6.40344382615703</v>
      </c>
      <c r="H286" s="348">
        <f t="shared" si="283"/>
        <v>5.9460890898759</v>
      </c>
      <c r="I286" s="348">
        <f t="shared" si="283"/>
        <v>5.21015370625231</v>
      </c>
      <c r="J286" s="348">
        <f t="shared" si="283"/>
        <v>5.72821985089992</v>
      </c>
      <c r="K286" s="348">
        <f t="shared" si="283"/>
        <v>6.133196740609</v>
      </c>
      <c r="L286" s="348">
        <f t="shared" si="283"/>
        <v>5.91544458535802</v>
      </c>
      <c r="M286" s="690"/>
      <c r="N286" s="348"/>
      <c r="O286" s="348"/>
      <c r="P286" s="691">
        <f t="shared" si="275"/>
        <v>5.91544458535802</v>
      </c>
      <c r="Q286" s="348">
        <f t="shared" ref="Q286:Y286" si="284">(Q176+Q182-Q164)/Q266</f>
        <v>5.54447153041693</v>
      </c>
      <c r="R286" s="348">
        <f t="shared" si="284"/>
        <v>5.31173446945698</v>
      </c>
      <c r="S286" s="348">
        <f t="shared" si="284"/>
        <v>5.68495932418295</v>
      </c>
      <c r="T286" s="348">
        <f t="shared" si="284"/>
        <v>5.45536846489227</v>
      </c>
      <c r="U286" s="348">
        <f t="shared" si="284"/>
        <v>5.12565994408364</v>
      </c>
      <c r="V286" s="348">
        <f t="shared" si="284"/>
        <v>4.86061692506002</v>
      </c>
      <c r="W286" s="348">
        <f t="shared" si="284"/>
        <v>5.20632039826356</v>
      </c>
      <c r="X286" s="348">
        <f t="shared" si="284"/>
        <v>5.02199196870774</v>
      </c>
      <c r="Y286" s="348">
        <f t="shared" si="284"/>
        <v>4.79051653944715</v>
      </c>
      <c r="AA286" s="348">
        <f t="shared" ref="AA286:AD286" si="285">(AA176+AA182-AA164)/AA266</f>
        <v>5.7074000718697</v>
      </c>
      <c r="AB286" s="348">
        <f t="shared" si="285"/>
        <v>6.83112287927867</v>
      </c>
      <c r="AC286" s="348">
        <f t="shared" si="285"/>
        <v>5.40863142366845</v>
      </c>
      <c r="AD286" s="348">
        <f t="shared" si="285"/>
        <v>4.97576146936828</v>
      </c>
    </row>
    <row r="287" outlineLevel="1" spans="13:16">
      <c r="M287" s="576"/>
      <c r="P287" s="577"/>
    </row>
    <row r="288" outlineLevel="1" spans="3:16">
      <c r="C288" s="11" t="s">
        <v>329</v>
      </c>
      <c r="D288" s="736" t="s">
        <v>56</v>
      </c>
      <c r="E288" s="350">
        <v>0.0825</v>
      </c>
      <c r="M288" s="576"/>
      <c r="P288" s="577"/>
    </row>
    <row r="289" outlineLevel="1" spans="3:30">
      <c r="C289" s="11" t="s">
        <v>330</v>
      </c>
      <c r="D289" s="181" t="s">
        <v>48</v>
      </c>
      <c r="F289" s="309">
        <f>+F266/$E$288</f>
        <v>13921.5515151515</v>
      </c>
      <c r="G289" s="309">
        <f>+G266/$E$288</f>
        <v>13958.4</v>
      </c>
      <c r="H289" s="309">
        <f>+H266/$E$288</f>
        <v>14248.8727272727</v>
      </c>
      <c r="I289" s="309">
        <f>+I266/$E$288</f>
        <v>15888.6303030303</v>
      </c>
      <c r="J289" s="309">
        <f>+J266/$E$288</f>
        <v>15212.0727272727</v>
      </c>
      <c r="K289" s="309">
        <f>+K266/$E$288</f>
        <v>14503.0241232655</v>
      </c>
      <c r="L289" s="309">
        <f>+L266/$E$288</f>
        <v>15182.9974174605</v>
      </c>
      <c r="M289" s="578"/>
      <c r="N289" s="309"/>
      <c r="O289" s="309"/>
      <c r="P289" s="579"/>
      <c r="Q289" s="309">
        <f>+Q266/$E$288</f>
        <v>19984.9567068966</v>
      </c>
      <c r="R289" s="309">
        <f>+R266/$E$288</f>
        <v>21652.7824794968</v>
      </c>
      <c r="S289" s="309">
        <f>+S266/$E$288</f>
        <v>20717.842207657</v>
      </c>
      <c r="T289" s="309">
        <f>+T266/$E$288</f>
        <v>21913.5136432827</v>
      </c>
      <c r="U289" s="309">
        <f>+U266/$E$288</f>
        <v>23034.9157423141</v>
      </c>
      <c r="V289" s="309">
        <f>+V266/$E$288</f>
        <v>25178.8690033951</v>
      </c>
      <c r="W289" s="309">
        <f>+W266/$E$288</f>
        <v>24081.0135702231</v>
      </c>
      <c r="X289" s="309">
        <f>+X266/$E$288</f>
        <v>25325.8895413935</v>
      </c>
      <c r="Y289" s="309">
        <f>+Y266/$E$288</f>
        <v>26160.5131994583</v>
      </c>
      <c r="AA289" s="309">
        <f>+AA266/$E$288</f>
        <v>14504.3636363636</v>
      </c>
      <c r="AB289" s="309">
        <f>+AB266/$E$288</f>
        <v>16220.7627437238</v>
      </c>
      <c r="AC289" s="309">
        <f>+AC266/$E$288</f>
        <v>21829.7635181877</v>
      </c>
      <c r="AD289" s="309">
        <f>+AD266/$E$288</f>
        <v>25186.5713286175</v>
      </c>
    </row>
    <row r="290" outlineLevel="1" spans="13:16">
      <c r="M290" s="576"/>
      <c r="P290" s="577"/>
    </row>
    <row r="291" outlineLevel="1" spans="3:30">
      <c r="C291" s="11" t="s">
        <v>331</v>
      </c>
      <c r="D291" s="736" t="s">
        <v>56</v>
      </c>
      <c r="F291" s="194">
        <f t="shared" ref="F291:L291" si="286">+F176/F289</f>
        <v>0.442244529519524</v>
      </c>
      <c r="G291" s="194">
        <f t="shared" si="286"/>
        <v>0.439549375286566</v>
      </c>
      <c r="H291" s="194">
        <f t="shared" si="286"/>
        <v>0.422839554771797</v>
      </c>
      <c r="I291" s="194">
        <f t="shared" si="286"/>
        <v>0.367470756676015</v>
      </c>
      <c r="J291" s="194">
        <f t="shared" si="286"/>
        <v>0.407658384966964</v>
      </c>
      <c r="K291" s="194">
        <f t="shared" si="286"/>
        <v>0.442504738703876</v>
      </c>
      <c r="L291" s="194">
        <f t="shared" si="286"/>
        <v>0.428136735487089</v>
      </c>
      <c r="M291" s="692"/>
      <c r="N291" s="194"/>
      <c r="O291" s="194"/>
      <c r="P291" s="693"/>
      <c r="Q291" s="194">
        <f t="shared" ref="Q291:Y291" si="287">+Q176/Q289</f>
        <v>0.409587418033601</v>
      </c>
      <c r="R291" s="194">
        <f t="shared" si="287"/>
        <v>0.388031001891795</v>
      </c>
      <c r="S291" s="194">
        <f t="shared" si="287"/>
        <v>0.416170526419838</v>
      </c>
      <c r="T291" s="194">
        <f t="shared" si="287"/>
        <v>0.400653552764004</v>
      </c>
      <c r="U291" s="194">
        <f t="shared" si="287"/>
        <v>0.382413606004252</v>
      </c>
      <c r="V291" s="194">
        <f t="shared" si="287"/>
        <v>0.358651225334726</v>
      </c>
      <c r="W291" s="194">
        <f t="shared" si="287"/>
        <v>0.385246302834676</v>
      </c>
      <c r="X291" s="194">
        <f t="shared" si="287"/>
        <v>0.372871524632877</v>
      </c>
      <c r="Y291" s="194">
        <f t="shared" si="287"/>
        <v>0.362038947506792</v>
      </c>
      <c r="AA291" s="194">
        <f t="shared" ref="AA291:AD291" si="288">+AA176/AA289</f>
        <v>0.402541410735327</v>
      </c>
      <c r="AB291" s="194">
        <f t="shared" si="288"/>
        <v>0.504636369227351</v>
      </c>
      <c r="AC291" s="194">
        <f t="shared" si="288"/>
        <v>0.403525452105024</v>
      </c>
      <c r="AD291" s="194">
        <f t="shared" si="288"/>
        <v>0.376038665263189</v>
      </c>
    </row>
    <row r="292" outlineLevel="1" spans="3:16">
      <c r="C292" s="11" t="s">
        <v>332</v>
      </c>
      <c r="D292" s="736" t="s">
        <v>56</v>
      </c>
      <c r="E292" s="182">
        <v>0.6</v>
      </c>
      <c r="M292" s="576"/>
      <c r="P292" s="577"/>
    </row>
    <row r="294" spans="2:26">
      <c r="B294" s="138" t="s">
        <v>333</v>
      </c>
      <c r="C294" s="138"/>
      <c r="D294" s="138"/>
      <c r="E294" s="138"/>
      <c r="F294" s="138"/>
      <c r="G294" s="138"/>
      <c r="H294" s="138"/>
      <c r="I294" s="138"/>
      <c r="J294" s="138"/>
      <c r="K294" s="138"/>
      <c r="L294" s="138"/>
      <c r="M294" s="138"/>
      <c r="N294" s="138"/>
      <c r="O294" s="138"/>
      <c r="P294" s="138"/>
      <c r="Q294" s="138"/>
      <c r="R294" s="138"/>
      <c r="S294" s="138"/>
      <c r="T294" s="138"/>
      <c r="U294" s="138"/>
      <c r="V294" s="138"/>
      <c r="W294" s="138"/>
      <c r="X294" s="138"/>
      <c r="Y294" s="138"/>
      <c r="Z294" s="138"/>
    </row>
    <row r="295" outlineLevel="1" spans="2:15">
      <c r="B295" s="108"/>
      <c r="C295" s="108"/>
      <c r="D295" s="108"/>
      <c r="E295" s="108"/>
      <c r="F295" s="108"/>
      <c r="G295" s="108"/>
      <c r="H295" s="108"/>
      <c r="I295" s="108"/>
      <c r="J295" s="160"/>
      <c r="K295" s="160"/>
      <c r="L295" s="160"/>
      <c r="M295" s="160"/>
      <c r="N295" s="160"/>
      <c r="O295" s="160"/>
    </row>
    <row r="296" outlineLevel="1" spans="2:15">
      <c r="B296" s="108"/>
      <c r="C296" s="139"/>
      <c r="D296" s="140"/>
      <c r="E296" s="141" t="s">
        <v>16</v>
      </c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</row>
    <row r="297" outlineLevel="1" spans="2:15">
      <c r="B297" s="108"/>
      <c r="C297" s="143"/>
      <c r="D297" s="433">
        <f>+$AC$152</f>
        <v>0.0356973645879278</v>
      </c>
      <c r="E297" s="680">
        <v>0.47</v>
      </c>
      <c r="F297" s="681">
        <f t="shared" ref="F297:O297" si="289">+E297+0.015</f>
        <v>0.485</v>
      </c>
      <c r="G297" s="681">
        <f t="shared" si="289"/>
        <v>0.5</v>
      </c>
      <c r="H297" s="681">
        <f t="shared" si="289"/>
        <v>0.515</v>
      </c>
      <c r="I297" s="681">
        <f t="shared" si="289"/>
        <v>0.53</v>
      </c>
      <c r="J297" s="694">
        <f t="shared" si="289"/>
        <v>0.545</v>
      </c>
      <c r="K297" s="681">
        <f t="shared" si="289"/>
        <v>0.56</v>
      </c>
      <c r="L297" s="681">
        <f t="shared" si="289"/>
        <v>0.575</v>
      </c>
      <c r="M297" s="681">
        <f t="shared" si="289"/>
        <v>0.59</v>
      </c>
      <c r="N297" s="681">
        <f t="shared" si="289"/>
        <v>0.605</v>
      </c>
      <c r="O297" s="695">
        <f t="shared" si="289"/>
        <v>0.62</v>
      </c>
    </row>
    <row r="298" outlineLevel="1" spans="2:15">
      <c r="B298" s="108"/>
      <c r="C298" s="143"/>
      <c r="D298" s="232">
        <v>0.2</v>
      </c>
      <c r="E298" s="194">
        <v>0.0836060298176492</v>
      </c>
      <c r="F298" s="194">
        <v>0.0765177219091958</v>
      </c>
      <c r="G298" s="194">
        <v>0.0695068349665979</v>
      </c>
      <c r="H298" s="194">
        <v>0.062572107451238</v>
      </c>
      <c r="I298" s="194">
        <v>0.0557123050846805</v>
      </c>
      <c r="J298" s="683">
        <v>0.0489262201163082</v>
      </c>
      <c r="K298" s="194">
        <v>0.0422126706144421</v>
      </c>
      <c r="L298" s="194">
        <v>0.0355704997800723</v>
      </c>
      <c r="M298" s="194">
        <v>0.0289985752823611</v>
      </c>
      <c r="N298" s="194">
        <v>0.0224957886151213</v>
      </c>
      <c r="O298" s="194">
        <v>0.0160610544734931</v>
      </c>
    </row>
    <row r="299" outlineLevel="1" spans="2:15">
      <c r="B299" s="108"/>
      <c r="C299" s="147" t="s">
        <v>334</v>
      </c>
      <c r="D299" s="234">
        <f t="shared" ref="D299:D306" si="290">+D298-2.5%</f>
        <v>0.175</v>
      </c>
      <c r="E299" s="194">
        <v>0.0818919320222232</v>
      </c>
      <c r="F299" s="194">
        <v>0.0747977738159342</v>
      </c>
      <c r="G299" s="194">
        <v>0.0677830708805383</v>
      </c>
      <c r="H299" s="194">
        <v>0.0608464957893966</v>
      </c>
      <c r="I299" s="194">
        <v>0.0539867505211456</v>
      </c>
      <c r="J299" s="683">
        <v>0.0472025656499472</v>
      </c>
      <c r="K299" s="194">
        <v>0.0404926995623502</v>
      </c>
      <c r="L299" s="194">
        <v>0.0338559376997461</v>
      </c>
      <c r="M299" s="194">
        <v>0.0272910918254544</v>
      </c>
      <c r="N299" s="194">
        <v>0.0207969993155028</v>
      </c>
      <c r="O299" s="194">
        <v>0.0143725224722182</v>
      </c>
    </row>
    <row r="300" outlineLevel="1" spans="3:15">
      <c r="C300" s="150"/>
      <c r="D300" s="234">
        <f t="shared" si="290"/>
        <v>0.15</v>
      </c>
      <c r="E300" s="194">
        <v>0.080196127505301</v>
      </c>
      <c r="F300" s="194">
        <v>0.0730966593343296</v>
      </c>
      <c r="G300" s="194">
        <v>0.0660786556533593</v>
      </c>
      <c r="H300" s="194">
        <v>0.0591407222865813</v>
      </c>
      <c r="I300" s="194">
        <v>0.0522814966907948</v>
      </c>
      <c r="J300" s="683">
        <v>0.0454996470633265</v>
      </c>
      <c r="K300" s="194">
        <v>0.0387938714799628</v>
      </c>
      <c r="L300" s="194">
        <v>0.0321628970617356</v>
      </c>
      <c r="M300" s="194">
        <v>0.0256054791694344</v>
      </c>
      <c r="N300" s="194">
        <v>0.0191204006247774</v>
      </c>
      <c r="O300" s="194">
        <v>0.0127064709572121</v>
      </c>
    </row>
    <row r="301" outlineLevel="1" spans="3:15">
      <c r="C301" s="150"/>
      <c r="D301" s="234">
        <f t="shared" si="290"/>
        <v>0.125</v>
      </c>
      <c r="E301" s="194">
        <v>0.0785183249756149</v>
      </c>
      <c r="F301" s="194">
        <v>0.0714140708038116</v>
      </c>
      <c r="G301" s="194">
        <v>0.0643932653234644</v>
      </c>
      <c r="H301" s="194">
        <v>0.0574544467996787</v>
      </c>
      <c r="I301" s="194">
        <v>0.0505961874388235</v>
      </c>
      <c r="J301" s="683">
        <v>0.0438170924090816</v>
      </c>
      <c r="K301" s="194">
        <v>0.0371157988947163</v>
      </c>
      <c r="L301" s="194">
        <v>0.0304909751827171</v>
      </c>
      <c r="M301" s="194">
        <v>0.0239413197805363</v>
      </c>
      <c r="N301" s="194">
        <v>0.0174655605636855</v>
      </c>
      <c r="O301" s="194">
        <v>0.0110624539520217</v>
      </c>
    </row>
    <row r="302" outlineLevel="1" spans="3:15">
      <c r="C302" s="150"/>
      <c r="D302" s="234">
        <f t="shared" si="290"/>
        <v>0.1</v>
      </c>
      <c r="E302" s="194">
        <v>0.0768582392937075</v>
      </c>
      <c r="F302" s="194">
        <v>0.0697497072286591</v>
      </c>
      <c r="G302" s="194">
        <v>0.0627265831213173</v>
      </c>
      <c r="H302" s="194">
        <v>0.0557873369174648</v>
      </c>
      <c r="I302" s="194">
        <v>0.0489304748931324</v>
      </c>
      <c r="J302" s="683">
        <v>0.0421545385826586</v>
      </c>
      <c r="K302" s="194">
        <v>0.0354581037444838</v>
      </c>
      <c r="L302" s="194">
        <v>0.0288397793631343</v>
      </c>
      <c r="M302" s="194">
        <v>0.0222982066859273</v>
      </c>
      <c r="N302" s="194">
        <v>0.0158320582929964</v>
      </c>
      <c r="O302" s="194">
        <v>0.00944003719930124</v>
      </c>
    </row>
    <row r="303" outlineLevel="1" spans="3:15">
      <c r="C303" s="150"/>
      <c r="D303" s="234">
        <f t="shared" si="290"/>
        <v>0.075</v>
      </c>
      <c r="E303" s="194">
        <v>0.0752155913103875</v>
      </c>
      <c r="F303" s="194">
        <v>0.0681032740984985</v>
      </c>
      <c r="G303" s="194">
        <v>0.0610782992709606</v>
      </c>
      <c r="H303" s="194">
        <v>0.054139067742153</v>
      </c>
      <c r="I303" s="194">
        <v>0.0472840192249435</v>
      </c>
      <c r="J303" s="683">
        <v>0.0405116310610747</v>
      </c>
      <c r="K303" s="194">
        <v>0.0338204170936122</v>
      </c>
      <c r="L303" s="194">
        <v>0.0272089265796913</v>
      </c>
      <c r="M303" s="194">
        <v>0.0206757431419015</v>
      </c>
      <c r="N303" s="194">
        <v>0.0142194837567056</v>
      </c>
      <c r="O303" s="194">
        <v>0.00783879777838626</v>
      </c>
    </row>
    <row r="304" outlineLevel="1" spans="3:15">
      <c r="C304" s="150"/>
      <c r="D304" s="234">
        <f t="shared" si="290"/>
        <v>0.05</v>
      </c>
      <c r="E304" s="194">
        <v>0.0735901077102418</v>
      </c>
      <c r="F304" s="194">
        <v>0.0664744832145679</v>
      </c>
      <c r="G304" s="194">
        <v>0.0594481107980737</v>
      </c>
      <c r="H304" s="194">
        <v>0.0525093216783058</v>
      </c>
      <c r="I304" s="194">
        <v>0.0456564884176698</v>
      </c>
      <c r="J304" s="683">
        <v>0.0388880236508901</v>
      </c>
      <c r="K304" s="194">
        <v>0.0322023788591809</v>
      </c>
      <c r="L304" s="194">
        <v>0.0255980431891458</v>
      </c>
      <c r="M304" s="194">
        <v>0.0190735423145049</v>
      </c>
      <c r="N304" s="194">
        <v>0.012627437338856</v>
      </c>
      <c r="O304" s="194">
        <v>0.00625832373775121</v>
      </c>
    </row>
    <row r="305" outlineLevel="1" spans="3:15">
      <c r="C305" s="150"/>
      <c r="D305" s="238">
        <f t="shared" si="290"/>
        <v>0.025</v>
      </c>
      <c r="E305" s="194">
        <v>0.0719815208600358</v>
      </c>
      <c r="F305" s="194">
        <v>0.0648630525215415</v>
      </c>
      <c r="G305" s="194">
        <v>0.0578357213443136</v>
      </c>
      <c r="H305" s="194">
        <v>0.0508977882288212</v>
      </c>
      <c r="I305" s="194">
        <v>0.0440475580437074</v>
      </c>
      <c r="J305" s="683">
        <v>0.0372833782450036</v>
      </c>
      <c r="K305" s="194">
        <v>0.0306036375470563</v>
      </c>
      <c r="L305" s="194">
        <v>0.0240067646429143</v>
      </c>
      <c r="M305" s="194">
        <v>0.0174912269720515</v>
      </c>
      <c r="N305" s="194">
        <v>0.0110555295333867</v>
      </c>
      <c r="O305" s="194">
        <v>0.00469821374167184</v>
      </c>
    </row>
    <row r="306" outlineLevel="1" spans="3:15">
      <c r="C306" s="239"/>
      <c r="D306" s="682">
        <f t="shared" si="290"/>
        <v>3.46944695195361e-17</v>
      </c>
      <c r="E306" s="683">
        <v>0.0703895686618081</v>
      </c>
      <c r="F306" s="683">
        <v>0.0632687059446993</v>
      </c>
      <c r="G306" s="683">
        <v>0.0562408409877068</v>
      </c>
      <c r="H306" s="683">
        <v>0.0493041637977246</v>
      </c>
      <c r="I306" s="683">
        <v>0.0424569110488383</v>
      </c>
      <c r="J306" s="683">
        <v>0.0356973645879277</v>
      </c>
      <c r="K306" s="683">
        <v>0.0290238499973304</v>
      </c>
      <c r="L306" s="683">
        <v>0.0224347352120354</v>
      </c>
      <c r="M306" s="683">
        <v>0.0159284291890181</v>
      </c>
      <c r="N306" s="683">
        <v>0.00950338062642628</v>
      </c>
      <c r="O306" s="683">
        <v>0.00315807673045879</v>
      </c>
    </row>
    <row r="307" outlineLevel="1"/>
    <row r="308" outlineLevel="1" spans="3:15">
      <c r="C308" s="139"/>
      <c r="D308" s="140"/>
      <c r="E308" s="141" t="s">
        <v>16</v>
      </c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</row>
    <row r="309" outlineLevel="1" spans="3:15">
      <c r="C309" s="143"/>
      <c r="D309" s="433">
        <f>+$AC$152</f>
        <v>0.0356973645879278</v>
      </c>
      <c r="E309" s="681">
        <f t="shared" ref="E309:O309" si="291">+E297</f>
        <v>0.47</v>
      </c>
      <c r="F309" s="681">
        <f t="shared" si="291"/>
        <v>0.485</v>
      </c>
      <c r="G309" s="681">
        <f t="shared" si="291"/>
        <v>0.5</v>
      </c>
      <c r="H309" s="681">
        <f t="shared" si="291"/>
        <v>0.515</v>
      </c>
      <c r="I309" s="681">
        <f t="shared" si="291"/>
        <v>0.53</v>
      </c>
      <c r="J309" s="694">
        <f t="shared" si="291"/>
        <v>0.545</v>
      </c>
      <c r="K309" s="681">
        <f t="shared" si="291"/>
        <v>0.56</v>
      </c>
      <c r="L309" s="681">
        <f t="shared" si="291"/>
        <v>0.575</v>
      </c>
      <c r="M309" s="681">
        <f t="shared" si="291"/>
        <v>0.59</v>
      </c>
      <c r="N309" s="681">
        <f t="shared" si="291"/>
        <v>0.605</v>
      </c>
      <c r="O309" s="695">
        <f t="shared" si="291"/>
        <v>0.62</v>
      </c>
    </row>
    <row r="310" outlineLevel="1" spans="3:15">
      <c r="C310" s="143"/>
      <c r="D310" s="437">
        <v>24</v>
      </c>
      <c r="E310" s="194">
        <v>0.0679239480336375</v>
      </c>
      <c r="F310" s="194">
        <v>0.0608192915225561</v>
      </c>
      <c r="G310" s="194">
        <v>0.0538074211201495</v>
      </c>
      <c r="H310" s="194">
        <v>0.0468865309526329</v>
      </c>
      <c r="I310" s="194">
        <v>0.0400548617072043</v>
      </c>
      <c r="J310" s="683">
        <v>0.033310699141048</v>
      </c>
      <c r="K310" s="194">
        <v>0.0266523726472697</v>
      </c>
      <c r="L310" s="194">
        <v>0.0200782538752377</v>
      </c>
      <c r="M310" s="194">
        <v>0.0135867554029458</v>
      </c>
      <c r="N310" s="194">
        <v>0.00717632945911241</v>
      </c>
      <c r="O310" s="194">
        <v>0.000845466692868964</v>
      </c>
    </row>
    <row r="311" outlineLevel="1" spans="3:15">
      <c r="C311" s="147" t="s">
        <v>335</v>
      </c>
      <c r="D311" s="438">
        <f t="shared" ref="D311:D318" si="292">+D310-3</f>
        <v>21</v>
      </c>
      <c r="E311" s="194">
        <v>0.069156758347723</v>
      </c>
      <c r="F311" s="194">
        <v>0.0620439987336277</v>
      </c>
      <c r="G311" s="194">
        <v>0.0550241310539283</v>
      </c>
      <c r="H311" s="194">
        <v>0.0480953473751787</v>
      </c>
      <c r="I311" s="194">
        <v>0.0412558863780214</v>
      </c>
      <c r="J311" s="683">
        <v>0.034504031864488</v>
      </c>
      <c r="K311" s="194">
        <v>0.0278381113223</v>
      </c>
      <c r="L311" s="194">
        <v>0.0212564945436366</v>
      </c>
      <c r="M311" s="194">
        <v>0.0147575922959818</v>
      </c>
      <c r="N311" s="194">
        <v>0.00833985504276958</v>
      </c>
      <c r="O311" s="194">
        <v>0.0020017717116638</v>
      </c>
    </row>
    <row r="312" outlineLevel="1" spans="3:15">
      <c r="C312" s="150"/>
      <c r="D312" s="439">
        <f t="shared" si="292"/>
        <v>18</v>
      </c>
      <c r="E312" s="683">
        <v>0.0703895686618081</v>
      </c>
      <c r="F312" s="683">
        <v>0.0632687059446993</v>
      </c>
      <c r="G312" s="683">
        <v>0.0562408409877068</v>
      </c>
      <c r="H312" s="683">
        <v>0.0493041637977246</v>
      </c>
      <c r="I312" s="683">
        <v>0.0424569110488383</v>
      </c>
      <c r="J312" s="683">
        <v>0.0356973645879277</v>
      </c>
      <c r="K312" s="683">
        <v>0.0290238499973304</v>
      </c>
      <c r="L312" s="683">
        <v>0.0224347352120354</v>
      </c>
      <c r="M312" s="683">
        <v>0.0159284291890181</v>
      </c>
      <c r="N312" s="683">
        <v>0.00950338062642628</v>
      </c>
      <c r="O312" s="683">
        <v>0.00315807673045879</v>
      </c>
    </row>
    <row r="313" outlineLevel="1" spans="3:15">
      <c r="C313" s="150"/>
      <c r="D313" s="438">
        <f t="shared" si="292"/>
        <v>15</v>
      </c>
      <c r="E313" s="194">
        <v>0.0716223789758935</v>
      </c>
      <c r="F313" s="194">
        <v>0.0644934131557706</v>
      </c>
      <c r="G313" s="194">
        <v>0.0574575509214855</v>
      </c>
      <c r="H313" s="194">
        <v>0.0505129802202705</v>
      </c>
      <c r="I313" s="194">
        <v>0.0436579357196554</v>
      </c>
      <c r="J313" s="683">
        <v>0.0368906973113677</v>
      </c>
      <c r="K313" s="194">
        <v>0.0302095886723607</v>
      </c>
      <c r="L313" s="194">
        <v>0.0236129758804341</v>
      </c>
      <c r="M313" s="194">
        <v>0.0170992660820544</v>
      </c>
      <c r="N313" s="194">
        <v>0.0106669062100833</v>
      </c>
      <c r="O313" s="194">
        <v>0.00431438174925332</v>
      </c>
    </row>
    <row r="314" outlineLevel="1" spans="3:15">
      <c r="C314" s="150"/>
      <c r="D314" s="438">
        <f t="shared" si="292"/>
        <v>12</v>
      </c>
      <c r="E314" s="194">
        <v>0.0728551892899791</v>
      </c>
      <c r="F314" s="194">
        <v>0.0657181203668422</v>
      </c>
      <c r="G314" s="194">
        <v>0.0586742608552638</v>
      </c>
      <c r="H314" s="194">
        <v>0.0517217966428163</v>
      </c>
      <c r="I314" s="194">
        <v>0.0448589603904725</v>
      </c>
      <c r="J314" s="683">
        <v>0.0380840300348077</v>
      </c>
      <c r="K314" s="194">
        <v>0.0313953273473907</v>
      </c>
      <c r="L314" s="194">
        <v>0.0247912165488329</v>
      </c>
      <c r="M314" s="194">
        <v>0.0182701029750907</v>
      </c>
      <c r="N314" s="194">
        <v>0.0118304317937405</v>
      </c>
      <c r="O314" s="194">
        <v>0.00547068676804831</v>
      </c>
    </row>
    <row r="315" outlineLevel="1" spans="3:15">
      <c r="C315" s="150"/>
      <c r="D315" s="438">
        <f t="shared" si="292"/>
        <v>9</v>
      </c>
      <c r="E315" s="194">
        <v>0.0740879996040646</v>
      </c>
      <c r="F315" s="194">
        <v>0.0669428275779138</v>
      </c>
      <c r="G315" s="194">
        <v>0.0598909707890423</v>
      </c>
      <c r="H315" s="194">
        <v>0.0529306130653619</v>
      </c>
      <c r="I315" s="194">
        <v>0.0460599850612896</v>
      </c>
      <c r="J315" s="683">
        <v>0.0392773627582477</v>
      </c>
      <c r="K315" s="194">
        <v>0.0325810660224209</v>
      </c>
      <c r="L315" s="194">
        <v>0.0259694572172311</v>
      </c>
      <c r="M315" s="194">
        <v>0.0194409398681267</v>
      </c>
      <c r="N315" s="194">
        <v>0.0129939573773975</v>
      </c>
      <c r="O315" s="194">
        <v>0.00662699178684315</v>
      </c>
    </row>
    <row r="316" outlineLevel="1" spans="3:15">
      <c r="C316" s="150"/>
      <c r="D316" s="438">
        <f t="shared" si="292"/>
        <v>6</v>
      </c>
      <c r="E316" s="194">
        <v>0.0753208099181501</v>
      </c>
      <c r="F316" s="194">
        <v>0.0681675347889854</v>
      </c>
      <c r="G316" s="194">
        <v>0.061107680722821</v>
      </c>
      <c r="H316" s="194">
        <v>0.0541394294879078</v>
      </c>
      <c r="I316" s="194">
        <v>0.0472610097321063</v>
      </c>
      <c r="J316" s="683">
        <v>0.0404706954816877</v>
      </c>
      <c r="K316" s="194">
        <v>0.0337668046974514</v>
      </c>
      <c r="L316" s="194">
        <v>0.02714769788563</v>
      </c>
      <c r="M316" s="194">
        <v>0.020611776761163</v>
      </c>
      <c r="N316" s="194">
        <v>0.0141574829610545</v>
      </c>
      <c r="O316" s="194">
        <v>0.00778329680563815</v>
      </c>
    </row>
    <row r="317" outlineLevel="1" spans="3:15">
      <c r="C317" s="150"/>
      <c r="D317" s="440">
        <f t="shared" si="292"/>
        <v>3</v>
      </c>
      <c r="E317" s="194">
        <v>0.0765536202322353</v>
      </c>
      <c r="F317" s="194">
        <v>0.0693922420000572</v>
      </c>
      <c r="G317" s="194">
        <v>0.0623243906565996</v>
      </c>
      <c r="H317" s="194">
        <v>0.0553482459104536</v>
      </c>
      <c r="I317" s="194">
        <v>0.0484620344029234</v>
      </c>
      <c r="J317" s="683">
        <v>0.0416640282051272</v>
      </c>
      <c r="K317" s="194">
        <v>0.0349525433724816</v>
      </c>
      <c r="L317" s="194">
        <v>0.0283259385540288</v>
      </c>
      <c r="M317" s="194">
        <v>0.0217826136541993</v>
      </c>
      <c r="N317" s="194">
        <v>0.0153210085447112</v>
      </c>
      <c r="O317" s="194">
        <v>0.00893960182443298</v>
      </c>
    </row>
    <row r="318" outlineLevel="1" spans="3:15">
      <c r="C318" s="239"/>
      <c r="D318" s="441">
        <f t="shared" si="292"/>
        <v>0</v>
      </c>
      <c r="E318" s="194">
        <v>0.0777864305463208</v>
      </c>
      <c r="F318" s="194">
        <v>0.0706169492111283</v>
      </c>
      <c r="G318" s="194">
        <v>0.0635411005903783</v>
      </c>
      <c r="H318" s="194">
        <v>0.0565570623329995</v>
      </c>
      <c r="I318" s="194">
        <v>0.0496630590737405</v>
      </c>
      <c r="J318" s="683">
        <v>0.0428573609285672</v>
      </c>
      <c r="K318" s="194">
        <v>0.0361382820475116</v>
      </c>
      <c r="L318" s="194">
        <v>0.0295041792224275</v>
      </c>
      <c r="M318" s="194">
        <v>0.0229534505472356</v>
      </c>
      <c r="N318" s="194">
        <v>0.0164845341283683</v>
      </c>
      <c r="O318" s="194">
        <v>0.0100959068432277</v>
      </c>
    </row>
    <row r="320" spans="2:26">
      <c r="B320" s="138" t="s">
        <v>336</v>
      </c>
      <c r="C320" s="138"/>
      <c r="D320" s="138"/>
      <c r="E320" s="138"/>
      <c r="F320" s="138"/>
      <c r="G320" s="138"/>
      <c r="H320" s="138"/>
      <c r="I320" s="138"/>
      <c r="J320" s="138"/>
      <c r="K320" s="138"/>
      <c r="L320" s="138"/>
      <c r="M320" s="138"/>
      <c r="N320" s="138"/>
      <c r="O320" s="138"/>
      <c r="P320" s="138"/>
      <c r="Q320" s="138"/>
      <c r="R320" s="138"/>
      <c r="S320" s="138"/>
      <c r="T320" s="138"/>
      <c r="U320" s="138"/>
      <c r="V320" s="138"/>
      <c r="W320" s="138"/>
      <c r="X320" s="138"/>
      <c r="Y320" s="138"/>
      <c r="Z320" s="138"/>
    </row>
    <row r="321" outlineLevel="1" spans="2:15">
      <c r="B321" s="108"/>
      <c r="C321" s="108"/>
      <c r="D321" s="108"/>
      <c r="E321" s="108"/>
      <c r="F321" s="108"/>
      <c r="G321" s="108"/>
      <c r="H321" s="108"/>
      <c r="I321" s="108"/>
      <c r="J321" s="160"/>
      <c r="K321" s="160"/>
      <c r="L321" s="160"/>
      <c r="M321" s="160"/>
      <c r="N321" s="160"/>
      <c r="O321" s="160"/>
    </row>
    <row r="322" outlineLevel="1" spans="3:15">
      <c r="C322" s="139"/>
      <c r="D322" s="140"/>
      <c r="E322" s="141" t="s">
        <v>16</v>
      </c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</row>
    <row r="323" outlineLevel="1" spans="3:15">
      <c r="C323" s="143"/>
      <c r="D323" s="433">
        <f>+$AD$152</f>
        <v>0.070324817414582</v>
      </c>
      <c r="E323" s="681">
        <f t="shared" ref="E323:O323" si="293">+E309</f>
        <v>0.47</v>
      </c>
      <c r="F323" s="681">
        <f t="shared" si="293"/>
        <v>0.485</v>
      </c>
      <c r="G323" s="681">
        <f t="shared" si="293"/>
        <v>0.5</v>
      </c>
      <c r="H323" s="681">
        <f t="shared" si="293"/>
        <v>0.515</v>
      </c>
      <c r="I323" s="681">
        <f t="shared" si="293"/>
        <v>0.53</v>
      </c>
      <c r="J323" s="694">
        <f t="shared" si="293"/>
        <v>0.545</v>
      </c>
      <c r="K323" s="681">
        <f t="shared" si="293"/>
        <v>0.56</v>
      </c>
      <c r="L323" s="681">
        <f t="shared" si="293"/>
        <v>0.575</v>
      </c>
      <c r="M323" s="681">
        <f t="shared" si="293"/>
        <v>0.59</v>
      </c>
      <c r="N323" s="681">
        <f t="shared" si="293"/>
        <v>0.605</v>
      </c>
      <c r="O323" s="695">
        <f t="shared" si="293"/>
        <v>0.62</v>
      </c>
    </row>
    <row r="324" outlineLevel="1" spans="3:15">
      <c r="C324" s="143"/>
      <c r="D324" s="234">
        <f t="shared" ref="D324:D332" si="294">+D298</f>
        <v>0.2</v>
      </c>
      <c r="E324" s="194">
        <v>0.124374430842835</v>
      </c>
      <c r="F324" s="194">
        <v>0.117211089912</v>
      </c>
      <c r="G324" s="194">
        <v>0.110125749503583</v>
      </c>
      <c r="H324" s="194">
        <v>0.103117142512625</v>
      </c>
      <c r="I324" s="194">
        <v>0.0961840291315516</v>
      </c>
      <c r="J324" s="683">
        <v>0.0893251961190267</v>
      </c>
      <c r="K324" s="194">
        <v>0.0825394560921738</v>
      </c>
      <c r="L324" s="194">
        <v>0.0758256468413097</v>
      </c>
      <c r="M324" s="194">
        <v>0.0691826306663533</v>
      </c>
      <c r="N324" s="194">
        <v>0.0626092937341176</v>
      </c>
      <c r="O324" s="194">
        <v>0.0561045454557186</v>
      </c>
    </row>
    <row r="325" outlineLevel="1" spans="3:15">
      <c r="C325" s="147" t="s">
        <v>334</v>
      </c>
      <c r="D325" s="234">
        <f t="shared" si="294"/>
        <v>0.175</v>
      </c>
      <c r="E325" s="194">
        <v>0.121992723350069</v>
      </c>
      <c r="F325" s="194">
        <v>0.114806304651025</v>
      </c>
      <c r="G325" s="194">
        <v>0.10770012906301</v>
      </c>
      <c r="H325" s="194">
        <v>0.100672860063296</v>
      </c>
      <c r="I325" s="194">
        <v>0.093723190646624</v>
      </c>
      <c r="J325" s="683">
        <v>0.0868498425148075</v>
      </c>
      <c r="K325" s="194">
        <v>0.0800515652928781</v>
      </c>
      <c r="L325" s="194">
        <v>0.0733271357707851</v>
      </c>
      <c r="M325" s="194">
        <v>0.0666753571696668</v>
      </c>
      <c r="N325" s="194">
        <v>0.0600950584317788</v>
      </c>
      <c r="O325" s="194">
        <v>0.0535850935331916</v>
      </c>
    </row>
    <row r="326" outlineLevel="1" spans="3:15">
      <c r="C326" s="150"/>
      <c r="D326" s="234">
        <f t="shared" si="294"/>
        <v>0.15</v>
      </c>
      <c r="E326" s="194">
        <v>0.119636356050151</v>
      </c>
      <c r="F326" s="194">
        <v>0.112427771716958</v>
      </c>
      <c r="G326" s="194">
        <v>0.105301653082341</v>
      </c>
      <c r="H326" s="194">
        <v>0.0982565930918993</v>
      </c>
      <c r="I326" s="194">
        <v>0.0912912165203185</v>
      </c>
      <c r="J326" s="683">
        <v>0.0844041790764195</v>
      </c>
      <c r="K326" s="194">
        <v>0.0775941665382368</v>
      </c>
      <c r="L326" s="194">
        <v>0.0708598939169557</v>
      </c>
      <c r="M326" s="194">
        <v>0.0642001046485912</v>
      </c>
      <c r="N326" s="194">
        <v>0.0576135698123404</v>
      </c>
      <c r="O326" s="194">
        <v>0.0510990873745842</v>
      </c>
    </row>
    <row r="327" outlineLevel="1" spans="3:15">
      <c r="C327" s="150"/>
      <c r="D327" s="234">
        <f t="shared" si="294"/>
        <v>0.125</v>
      </c>
      <c r="E327" s="194">
        <v>0.117304926672334</v>
      </c>
      <c r="F327" s="194">
        <v>0.110075063560224</v>
      </c>
      <c r="G327" s="194">
        <v>0.102929868447489</v>
      </c>
      <c r="H327" s="194">
        <v>0.0958678626881295</v>
      </c>
      <c r="I327" s="194">
        <v>0.0888876018677285</v>
      </c>
      <c r="J327" s="683">
        <v>0.0819876748185536</v>
      </c>
      <c r="K327" s="194">
        <v>0.0751667026684615</v>
      </c>
      <c r="L327" s="194">
        <v>0.068423337922269</v>
      </c>
      <c r="M327" s="194">
        <v>0.0617562635743038</v>
      </c>
      <c r="N327" s="194">
        <v>0.0551641922509039</v>
      </c>
      <c r="O327" s="194">
        <v>0.0486458653816958</v>
      </c>
    </row>
    <row r="328" outlineLevel="1" spans="3:15">
      <c r="C328" s="150"/>
      <c r="D328" s="234">
        <f t="shared" si="294"/>
        <v>0.1</v>
      </c>
      <c r="E328" s="194">
        <v>0.11499804141568</v>
      </c>
      <c r="F328" s="194">
        <v>0.107747761865305</v>
      </c>
      <c r="G328" s="194">
        <v>0.100584332073491</v>
      </c>
      <c r="H328" s="194">
        <v>0.0935062007954702</v>
      </c>
      <c r="I328" s="194">
        <v>0.086511853510709</v>
      </c>
      <c r="J328" s="683">
        <v>0.0795998113425404</v>
      </c>
      <c r="K328" s="194">
        <v>0.0727686300157097</v>
      </c>
      <c r="L328" s="194">
        <v>0.0660168988502945</v>
      </c>
      <c r="M328" s="194">
        <v>0.0593432397905243</v>
      </c>
      <c r="N328" s="194">
        <v>0.0527463064670974</v>
      </c>
      <c r="O328" s="194">
        <v>0.0462247832916524</v>
      </c>
    </row>
    <row r="329" outlineLevel="1" spans="3:15">
      <c r="C329" s="150"/>
      <c r="D329" s="234">
        <f t="shared" si="294"/>
        <v>0.075</v>
      </c>
      <c r="E329" s="194">
        <v>0.112715314727317</v>
      </c>
      <c r="F329" s="194">
        <v>0.10544545730279</v>
      </c>
      <c r="G329" s="194">
        <v>0.0982646106285514</v>
      </c>
      <c r="H329" s="194">
        <v>0.0911711499054473</v>
      </c>
      <c r="I329" s="194">
        <v>0.0841634896405269</v>
      </c>
      <c r="J329" s="683">
        <v>0.0772400824655993</v>
      </c>
      <c r="K329" s="194">
        <v>0.0703994179981458</v>
      </c>
      <c r="L329" s="194">
        <v>0.0636400217428293</v>
      </c>
      <c r="M329" s="194">
        <v>0.0569604540319262</v>
      </c>
      <c r="N329" s="194">
        <v>0.050359309003075</v>
      </c>
      <c r="O329" s="194">
        <v>0.0438352136128222</v>
      </c>
    </row>
    <row r="330" outlineLevel="1" spans="3:15">
      <c r="C330" s="150"/>
      <c r="D330" s="234">
        <f t="shared" si="294"/>
        <v>0.05</v>
      </c>
      <c r="E330" s="194">
        <v>0.110456369087615</v>
      </c>
      <c r="F330" s="194">
        <v>0.103167749289364</v>
      </c>
      <c r="G330" s="194">
        <v>0.0959702802671547</v>
      </c>
      <c r="H330" s="194">
        <v>0.0888622627621548</v>
      </c>
      <c r="I330" s="194">
        <v>0.0818420394921092</v>
      </c>
      <c r="J330" s="683">
        <v>0.0749079938631198</v>
      </c>
      <c r="K330" s="194">
        <v>0.0680585487285756</v>
      </c>
      <c r="L330" s="194">
        <v>0.0612921651932323</v>
      </c>
      <c r="M330" s="194">
        <v>0.0546073414605386</v>
      </c>
      <c r="N330" s="194">
        <v>0.0480026117213946</v>
      </c>
      <c r="O330" s="194">
        <v>0.0414765450826139</v>
      </c>
    </row>
    <row r="331" outlineLevel="1" spans="3:15">
      <c r="C331" s="150"/>
      <c r="D331" s="238">
        <f t="shared" si="294"/>
        <v>0.025</v>
      </c>
      <c r="E331" s="194">
        <v>0.108220834802053</v>
      </c>
      <c r="F331" s="194">
        <v>0.100914245755456</v>
      </c>
      <c r="G331" s="194">
        <v>0.0937009263718931</v>
      </c>
      <c r="H331" s="194">
        <v>0.0865791020766627</v>
      </c>
      <c r="I331" s="194">
        <v>0.0795470430294275</v>
      </c>
      <c r="J331" s="683">
        <v>0.0726030627234334</v>
      </c>
      <c r="K331" s="194">
        <v>0.0657455166370391</v>
      </c>
      <c r="L331" s="194">
        <v>0.058972800935286</v>
      </c>
      <c r="M331" s="194">
        <v>0.0522833512193604</v>
      </c>
      <c r="N331" s="194">
        <v>0.0456756413218975</v>
      </c>
      <c r="O331" s="194">
        <v>0.0391481821461759</v>
      </c>
    </row>
    <row r="332" outlineLevel="1" spans="3:15">
      <c r="C332" s="239"/>
      <c r="D332" s="682">
        <f t="shared" si="294"/>
        <v>3.46944695195361e-17</v>
      </c>
      <c r="E332" s="683">
        <v>0.106008349799515</v>
      </c>
      <c r="F332" s="683">
        <v>0.0986845629202537</v>
      </c>
      <c r="G332" s="683">
        <v>0.091456143303679</v>
      </c>
      <c r="H332" s="683">
        <v>0.0843212402509144</v>
      </c>
      <c r="I332" s="683">
        <v>0.0772780506415769</v>
      </c>
      <c r="J332" s="683">
        <v>0.0703248174145819</v>
      </c>
      <c r="K332" s="683">
        <v>0.06345982810679</v>
      </c>
      <c r="L332" s="683">
        <v>0.0566814134469399</v>
      </c>
      <c r="M332" s="683">
        <v>0.0499879460024466</v>
      </c>
      <c r="N332" s="683">
        <v>0.0433778388767544</v>
      </c>
      <c r="O332" s="683">
        <v>0.0368495444550618</v>
      </c>
    </row>
    <row r="333" outlineLevel="1"/>
    <row r="334" outlineLevel="1" spans="3:15">
      <c r="C334" s="139"/>
      <c r="D334" s="140"/>
      <c r="E334" s="141" t="s">
        <v>16</v>
      </c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</row>
    <row r="335" outlineLevel="1" spans="3:15">
      <c r="C335" s="143"/>
      <c r="D335" s="433">
        <f>+$AD$152</f>
        <v>0.070324817414582</v>
      </c>
      <c r="E335" s="681">
        <f t="shared" ref="E335:O335" si="295">+E323</f>
        <v>0.47</v>
      </c>
      <c r="F335" s="681">
        <f t="shared" si="295"/>
        <v>0.485</v>
      </c>
      <c r="G335" s="681">
        <f t="shared" si="295"/>
        <v>0.5</v>
      </c>
      <c r="H335" s="681">
        <f t="shared" si="295"/>
        <v>0.515</v>
      </c>
      <c r="I335" s="681">
        <f t="shared" si="295"/>
        <v>0.53</v>
      </c>
      <c r="J335" s="694">
        <f t="shared" si="295"/>
        <v>0.545</v>
      </c>
      <c r="K335" s="681">
        <f t="shared" si="295"/>
        <v>0.56</v>
      </c>
      <c r="L335" s="681">
        <f t="shared" si="295"/>
        <v>0.575</v>
      </c>
      <c r="M335" s="681">
        <f t="shared" si="295"/>
        <v>0.59</v>
      </c>
      <c r="N335" s="681">
        <f t="shared" si="295"/>
        <v>0.605</v>
      </c>
      <c r="O335" s="695">
        <f t="shared" si="295"/>
        <v>0.62</v>
      </c>
    </row>
    <row r="336" outlineLevel="1" spans="3:15">
      <c r="C336" s="143"/>
      <c r="D336" s="471">
        <f t="shared" ref="D336:D344" si="296">+D310</f>
        <v>24</v>
      </c>
      <c r="E336" s="194">
        <v>0.110393663897855</v>
      </c>
      <c r="F336" s="194">
        <v>0.103041138050267</v>
      </c>
      <c r="G336" s="194">
        <v>0.0957843536920843</v>
      </c>
      <c r="H336" s="194">
        <v>0.0886214528621817</v>
      </c>
      <c r="I336" s="194">
        <v>0.0815506253646257</v>
      </c>
      <c r="J336" s="683">
        <v>0.0745701072435207</v>
      </c>
      <c r="K336" s="194">
        <v>0.0676781793159221</v>
      </c>
      <c r="L336" s="194">
        <v>0.0608731657602506</v>
      </c>
      <c r="M336" s="194">
        <v>0.0541534327577802</v>
      </c>
      <c r="N336" s="194">
        <v>0.0475173871848807</v>
      </c>
      <c r="O336" s="194">
        <v>0.040963475353819</v>
      </c>
    </row>
    <row r="337" outlineLevel="1" spans="3:15">
      <c r="C337" s="147" t="s">
        <v>335</v>
      </c>
      <c r="D337" s="438">
        <f t="shared" si="296"/>
        <v>21</v>
      </c>
      <c r="E337" s="194">
        <v>0.108201006848685</v>
      </c>
      <c r="F337" s="194">
        <v>0.10086285048526</v>
      </c>
      <c r="G337" s="194">
        <v>0.0936202484978817</v>
      </c>
      <c r="H337" s="194">
        <v>0.0864713465565481</v>
      </c>
      <c r="I337" s="194">
        <v>0.0794143380031012</v>
      </c>
      <c r="J337" s="683">
        <v>0.0724474623290513</v>
      </c>
      <c r="K337" s="194">
        <v>0.0655690037113561</v>
      </c>
      <c r="L337" s="194">
        <v>0.0587772896035953</v>
      </c>
      <c r="M337" s="194">
        <v>0.0520706893801135</v>
      </c>
      <c r="N337" s="194">
        <v>0.0454476130308176</v>
      </c>
      <c r="O337" s="194">
        <v>0.0389065099044403</v>
      </c>
    </row>
    <row r="338" outlineLevel="1" spans="3:15">
      <c r="C338" s="150"/>
      <c r="D338" s="439">
        <f t="shared" si="296"/>
        <v>18</v>
      </c>
      <c r="E338" s="683">
        <v>0.106008349799515</v>
      </c>
      <c r="F338" s="683">
        <v>0.0986845629202537</v>
      </c>
      <c r="G338" s="683">
        <v>0.091456143303679</v>
      </c>
      <c r="H338" s="683">
        <v>0.0843212402509144</v>
      </c>
      <c r="I338" s="683">
        <v>0.0772780506415769</v>
      </c>
      <c r="J338" s="683">
        <v>0.0703248174145819</v>
      </c>
      <c r="K338" s="683">
        <v>0.0634598281067902</v>
      </c>
      <c r="L338" s="683">
        <v>0.0566814134469399</v>
      </c>
      <c r="M338" s="683">
        <v>0.0499879460024466</v>
      </c>
      <c r="N338" s="683">
        <v>0.0433778388767544</v>
      </c>
      <c r="O338" s="683">
        <v>0.0368495444550618</v>
      </c>
    </row>
    <row r="339" outlineLevel="1" spans="3:15">
      <c r="C339" s="150"/>
      <c r="D339" s="438">
        <f t="shared" si="296"/>
        <v>15</v>
      </c>
      <c r="E339" s="194">
        <v>0.103815692750345</v>
      </c>
      <c r="F339" s="194">
        <v>0.0965062753552473</v>
      </c>
      <c r="G339" s="194">
        <v>0.0892920381094761</v>
      </c>
      <c r="H339" s="194">
        <v>0.0821711339452806</v>
      </c>
      <c r="I339" s="194">
        <v>0.0751417632800527</v>
      </c>
      <c r="J339" s="683">
        <v>0.0682021725001127</v>
      </c>
      <c r="K339" s="194">
        <v>0.0613506525022241</v>
      </c>
      <c r="L339" s="194">
        <v>0.0545855372902845</v>
      </c>
      <c r="M339" s="194">
        <v>0.0479052026247796</v>
      </c>
      <c r="N339" s="194">
        <v>0.0413080647226914</v>
      </c>
      <c r="O339" s="194">
        <v>0.0347925790056833</v>
      </c>
    </row>
    <row r="340" outlineLevel="1" spans="3:15">
      <c r="C340" s="150"/>
      <c r="D340" s="438">
        <f t="shared" si="296"/>
        <v>12</v>
      </c>
      <c r="E340" s="194">
        <v>0.101623035701175</v>
      </c>
      <c r="F340" s="194">
        <v>0.0943279877902406</v>
      </c>
      <c r="G340" s="194">
        <v>0.0871279329152733</v>
      </c>
      <c r="H340" s="194">
        <v>0.080021027639647</v>
      </c>
      <c r="I340" s="194">
        <v>0.0730054759185284</v>
      </c>
      <c r="J340" s="683">
        <v>0.0660795275856433</v>
      </c>
      <c r="K340" s="194">
        <v>0.0592414768976578</v>
      </c>
      <c r="L340" s="194">
        <v>0.0524896611336292</v>
      </c>
      <c r="M340" s="194">
        <v>0.0458224592471129</v>
      </c>
      <c r="N340" s="194">
        <v>0.0392382905686284</v>
      </c>
      <c r="O340" s="194">
        <v>0.0327356135563046</v>
      </c>
    </row>
    <row r="341" outlineLevel="1" spans="3:15">
      <c r="C341" s="150"/>
      <c r="D341" s="438">
        <f t="shared" si="296"/>
        <v>9</v>
      </c>
      <c r="E341" s="194">
        <v>0.0994303786520043</v>
      </c>
      <c r="F341" s="194">
        <v>0.0921497002252341</v>
      </c>
      <c r="G341" s="194">
        <v>0.0849638277210706</v>
      </c>
      <c r="H341" s="194">
        <v>0.0778709213340134</v>
      </c>
      <c r="I341" s="194">
        <v>0.0708691885570041</v>
      </c>
      <c r="J341" s="683">
        <v>0.0639568826711738</v>
      </c>
      <c r="K341" s="194">
        <v>0.0571323012930918</v>
      </c>
      <c r="L341" s="194">
        <v>0.050393784976974</v>
      </c>
      <c r="M341" s="194">
        <v>0.0437397158694462</v>
      </c>
      <c r="N341" s="194">
        <v>0.0371685164145651</v>
      </c>
      <c r="O341" s="194">
        <v>0.030678648106926</v>
      </c>
    </row>
    <row r="342" outlineLevel="1" spans="3:15">
      <c r="C342" s="150"/>
      <c r="D342" s="438">
        <f t="shared" si="296"/>
        <v>6</v>
      </c>
      <c r="E342" s="194">
        <v>0.0972377216028338</v>
      </c>
      <c r="F342" s="194">
        <v>0.0899714126602277</v>
      </c>
      <c r="G342" s="194">
        <v>0.082799722526868</v>
      </c>
      <c r="H342" s="194">
        <v>0.0757208150283796</v>
      </c>
      <c r="I342" s="194">
        <v>0.0687329011954798</v>
      </c>
      <c r="J342" s="683">
        <v>0.0618342377567045</v>
      </c>
      <c r="K342" s="194">
        <v>0.0550231256885257</v>
      </c>
      <c r="L342" s="194">
        <v>0.0482979088203186</v>
      </c>
      <c r="M342" s="194">
        <v>0.0416569724917792</v>
      </c>
      <c r="N342" s="194">
        <v>0.035098742260502</v>
      </c>
      <c r="O342" s="194">
        <v>0.0286216826575474</v>
      </c>
    </row>
    <row r="343" outlineLevel="1" spans="3:15">
      <c r="C343" s="150"/>
      <c r="D343" s="440">
        <f t="shared" si="296"/>
        <v>3</v>
      </c>
      <c r="E343" s="194">
        <v>0.0950450645536638</v>
      </c>
      <c r="F343" s="194">
        <v>0.0877931250952213</v>
      </c>
      <c r="G343" s="194">
        <v>0.0806356173326651</v>
      </c>
      <c r="H343" s="194">
        <v>0.0735707087227459</v>
      </c>
      <c r="I343" s="194">
        <v>0.0665966138339554</v>
      </c>
      <c r="J343" s="683">
        <v>0.0597115928422352</v>
      </c>
      <c r="K343" s="194">
        <v>0.0529139500839598</v>
      </c>
      <c r="L343" s="194">
        <v>0.0462020326636633</v>
      </c>
      <c r="M343" s="194">
        <v>0.0395742291141123</v>
      </c>
      <c r="N343" s="194">
        <v>0.0330289681064389</v>
      </c>
      <c r="O343" s="194">
        <v>0.0265647172081686</v>
      </c>
    </row>
    <row r="344" outlineLevel="1" spans="3:15">
      <c r="C344" s="239"/>
      <c r="D344" s="441">
        <f t="shared" si="296"/>
        <v>0</v>
      </c>
      <c r="E344" s="194">
        <v>0.0928524075044936</v>
      </c>
      <c r="F344" s="194">
        <v>0.0856148375302148</v>
      </c>
      <c r="G344" s="194">
        <v>0.0784715121384622</v>
      </c>
      <c r="H344" s="194">
        <v>0.0714206024171123</v>
      </c>
      <c r="I344" s="194">
        <v>0.0644603264724313</v>
      </c>
      <c r="J344" s="683">
        <v>0.0575889479277659</v>
      </c>
      <c r="K344" s="194">
        <v>0.0508047744793937</v>
      </c>
      <c r="L344" s="194">
        <v>0.0441061565070079</v>
      </c>
      <c r="M344" s="194">
        <v>0.0374914857364455</v>
      </c>
      <c r="N344" s="194">
        <v>0.0309591939523759</v>
      </c>
      <c r="O344" s="194">
        <v>0.0245077517587901</v>
      </c>
    </row>
  </sheetData>
  <mergeCells count="4">
    <mergeCell ref="C299:C306"/>
    <mergeCell ref="C311:C318"/>
    <mergeCell ref="C325:C332"/>
    <mergeCell ref="C337:C344"/>
  </mergeCells>
  <pageMargins left="0.699305555555556" right="0.699305555555556" top="0.75" bottom="0.75" header="0.3" footer="0.3"/>
  <pageSetup paperSize="1" scale="24" orientation="portrait"/>
  <headerFooter/>
  <rowBreaks count="4" manualBreakCount="4">
    <brk id="77" max="30" man="1"/>
    <brk id="153" max="30" man="1"/>
    <brk id="190" max="30" man="1"/>
    <brk id="262" max="30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autoPageBreaks="0"/>
  </sheetPr>
  <dimension ref="A1:Y97"/>
  <sheetViews>
    <sheetView showGridLines="0" zoomScale="82" zoomScaleNormal="82" workbookViewId="0">
      <selection activeCell="B2" sqref="B2"/>
    </sheetView>
  </sheetViews>
  <sheetFormatPr defaultColWidth="8.44166666666667" defaultRowHeight="14.25"/>
  <cols>
    <col min="1" max="1" width="2.25" style="26" customWidth="1"/>
    <col min="2" max="2" width="28" style="26" customWidth="1"/>
    <col min="3" max="3" width="8.875" style="26" hidden="1" customWidth="1" outlineLevel="1"/>
    <col min="4" max="5" width="11.125" style="26" hidden="1" customWidth="1" outlineLevel="1"/>
    <col min="6" max="6" width="11.125" style="26" customWidth="1" collapsed="1"/>
    <col min="7" max="7" width="11.125" style="26" customWidth="1"/>
    <col min="8" max="8" width="11.125" style="26" hidden="1" customWidth="1" outlineLevel="1"/>
    <col min="9" max="9" width="11.125" style="26" customWidth="1" collapsed="1"/>
    <col min="10" max="25" width="11.125" style="26" customWidth="1"/>
    <col min="26" max="26" width="2.25" style="26" customWidth="1"/>
    <col min="27" max="27" width="11.125" style="26" customWidth="1"/>
    <col min="28" max="16384" width="8" style="26"/>
  </cols>
  <sheetData>
    <row r="1" spans="1: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ht="17.85" customHeight="1" spans="1:25">
      <c r="A2" s="2"/>
      <c r="B2" s="412" t="str">
        <f>"Value Creation Analysis - "&amp;Buyer_Name&amp;" and "&amp;Seller_Name</f>
        <v>Value Creation Analysis - Digital Realty Trust, Inc. and DuPont Fabros Technology, Inc.</v>
      </c>
      <c r="C2" s="413"/>
      <c r="D2" s="413"/>
      <c r="E2" s="413"/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2"/>
      <c r="W2" s="2"/>
      <c r="X2" s="2"/>
      <c r="Y2" s="2"/>
    </row>
    <row r="3" ht="15.75" spans="1:25">
      <c r="A3" s="2"/>
      <c r="B3" s="4" t="str">
        <f>+'DLR-Op-Model'!$B$3</f>
        <v>($ USD in Millions Except Per Share and Per Unit Amounts in USD as Stated)</v>
      </c>
      <c r="C3" s="2"/>
      <c r="D3" s="62"/>
      <c r="E3" s="62"/>
      <c r="F3" s="2"/>
      <c r="G3" s="2"/>
      <c r="H3" s="2"/>
      <c r="I3" s="2"/>
      <c r="J3" s="2"/>
      <c r="K3" s="2"/>
      <c r="L3" s="2"/>
      <c r="M3" s="2"/>
      <c r="N3" s="243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>
      <c r="A4" s="2"/>
      <c r="B4" s="415"/>
      <c r="C4" s="2"/>
      <c r="D4" s="415"/>
      <c r="E4" s="415"/>
      <c r="F4" s="415"/>
      <c r="G4" s="415"/>
      <c r="H4" s="415"/>
      <c r="I4" s="415"/>
      <c r="J4" s="415"/>
      <c r="K4" s="415"/>
      <c r="L4" s="442"/>
      <c r="M4" s="442"/>
      <c r="N4" s="415"/>
      <c r="O4" s="442"/>
      <c r="P4" s="442"/>
      <c r="Q4" s="121"/>
      <c r="R4" s="442"/>
      <c r="S4" s="442"/>
      <c r="T4" s="415"/>
      <c r="U4" s="415"/>
      <c r="V4" s="2"/>
      <c r="W4" s="2"/>
      <c r="X4" s="2"/>
      <c r="Y4" s="2"/>
    </row>
    <row r="5" spans="1:25">
      <c r="A5" s="2"/>
      <c r="E5" s="415"/>
      <c r="F5" s="415"/>
      <c r="G5" s="415"/>
      <c r="H5" s="415"/>
      <c r="I5" s="415"/>
      <c r="J5" s="415"/>
      <c r="K5" s="415"/>
      <c r="L5" s="442"/>
      <c r="M5" s="442"/>
      <c r="N5" s="415"/>
      <c r="O5" s="442"/>
      <c r="P5" s="442"/>
      <c r="Q5" s="121"/>
      <c r="R5" s="442"/>
      <c r="S5" s="442"/>
      <c r="T5" s="415"/>
      <c r="U5" s="415"/>
      <c r="V5" s="2"/>
      <c r="W5" s="2"/>
      <c r="X5" s="2"/>
      <c r="Y5" s="2"/>
    </row>
    <row r="6" spans="1:25">
      <c r="A6" s="2"/>
      <c r="E6" s="415"/>
      <c r="F6" s="415"/>
      <c r="G6" s="415"/>
      <c r="H6" s="415"/>
      <c r="I6" s="415"/>
      <c r="J6" s="415"/>
      <c r="K6" s="415"/>
      <c r="L6" s="442"/>
      <c r="M6" s="442"/>
      <c r="N6" s="415"/>
      <c r="O6" s="442"/>
      <c r="P6" s="442"/>
      <c r="Q6" s="121"/>
      <c r="R6" s="442"/>
      <c r="S6" s="442"/>
      <c r="T6" s="415"/>
      <c r="U6" s="415"/>
      <c r="V6" s="2"/>
      <c r="W6" s="2"/>
      <c r="X6" s="2"/>
      <c r="Y6" s="2"/>
    </row>
    <row r="7" spans="1:25">
      <c r="A7" s="2"/>
      <c r="B7" s="415"/>
      <c r="C7" s="2"/>
      <c r="D7" s="415"/>
      <c r="E7" s="415"/>
      <c r="F7" s="415"/>
      <c r="G7" s="415"/>
      <c r="H7" s="415"/>
      <c r="I7" s="415"/>
      <c r="J7" s="415"/>
      <c r="K7" s="415"/>
      <c r="L7" s="442"/>
      <c r="M7" s="442"/>
      <c r="N7" s="415"/>
      <c r="O7" s="442"/>
      <c r="P7" s="442"/>
      <c r="Q7" s="121"/>
      <c r="R7" s="442"/>
      <c r="S7" s="442"/>
      <c r="T7" s="415"/>
      <c r="U7" s="415"/>
      <c r="V7" s="2"/>
      <c r="W7" s="2"/>
      <c r="X7" s="2"/>
      <c r="Y7" s="2"/>
    </row>
    <row r="8" spans="1:25">
      <c r="A8" s="2"/>
      <c r="B8" s="416" t="s">
        <v>337</v>
      </c>
      <c r="C8" s="417"/>
      <c r="D8" s="417"/>
      <c r="E8" s="417"/>
      <c r="F8" s="418"/>
      <c r="G8" s="419"/>
      <c r="H8" s="419"/>
      <c r="I8" s="421" t="s">
        <v>24</v>
      </c>
      <c r="J8" s="443" t="s">
        <v>338</v>
      </c>
      <c r="K8" s="420"/>
      <c r="L8" s="420"/>
      <c r="M8" s="420"/>
      <c r="N8" s="418" t="s">
        <v>339</v>
      </c>
      <c r="O8" s="444"/>
      <c r="P8" s="444"/>
      <c r="Q8" s="418" t="s">
        <v>340</v>
      </c>
      <c r="R8" s="444"/>
      <c r="S8" s="444"/>
      <c r="T8" s="421" t="s">
        <v>341</v>
      </c>
      <c r="U8" s="421" t="s">
        <v>342</v>
      </c>
      <c r="V8" s="421" t="s">
        <v>341</v>
      </c>
      <c r="W8" s="421" t="s">
        <v>342</v>
      </c>
      <c r="X8" s="421" t="s">
        <v>341</v>
      </c>
      <c r="Y8" s="421" t="s">
        <v>342</v>
      </c>
    </row>
    <row r="9" spans="1:25">
      <c r="A9" s="2"/>
      <c r="B9" s="420"/>
      <c r="C9" s="420"/>
      <c r="D9" s="421" t="s">
        <v>343</v>
      </c>
      <c r="E9" s="421" t="s">
        <v>344</v>
      </c>
      <c r="F9" s="421" t="s">
        <v>345</v>
      </c>
      <c r="G9" s="421" t="s">
        <v>346</v>
      </c>
      <c r="H9" s="421" t="s">
        <v>347</v>
      </c>
      <c r="I9" s="421" t="s">
        <v>348</v>
      </c>
      <c r="J9" s="421" t="s">
        <v>349</v>
      </c>
      <c r="K9" s="418" t="s">
        <v>350</v>
      </c>
      <c r="L9" s="418"/>
      <c r="M9" s="418"/>
      <c r="N9" s="418" t="s">
        <v>351</v>
      </c>
      <c r="O9" s="418"/>
      <c r="P9" s="418"/>
      <c r="Q9" s="418" t="s">
        <v>352</v>
      </c>
      <c r="R9" s="418"/>
      <c r="S9" s="418"/>
      <c r="T9" s="421" t="s">
        <v>350</v>
      </c>
      <c r="U9" s="421" t="s">
        <v>350</v>
      </c>
      <c r="V9" s="421" t="s">
        <v>353</v>
      </c>
      <c r="W9" s="421" t="s">
        <v>353</v>
      </c>
      <c r="X9" s="421" t="s">
        <v>354</v>
      </c>
      <c r="Y9" s="421" t="s">
        <v>354</v>
      </c>
    </row>
    <row r="10" spans="1:25">
      <c r="A10" s="2"/>
      <c r="B10" s="138" t="s">
        <v>355</v>
      </c>
      <c r="C10" s="138" t="s">
        <v>356</v>
      </c>
      <c r="D10" s="422" t="s">
        <v>357</v>
      </c>
      <c r="E10" s="422" t="s">
        <v>358</v>
      </c>
      <c r="F10" s="422" t="s">
        <v>359</v>
      </c>
      <c r="G10" s="422" t="s">
        <v>359</v>
      </c>
      <c r="H10" s="422" t="s">
        <v>360</v>
      </c>
      <c r="I10" s="422" t="s">
        <v>360</v>
      </c>
      <c r="J10" s="422" t="s">
        <v>361</v>
      </c>
      <c r="K10" s="61">
        <f>EOMONTH(Buyer_Hist_Year,Months)</f>
        <v>43100</v>
      </c>
      <c r="L10" s="61">
        <f>EOMONTH(K10,Months)</f>
        <v>43465</v>
      </c>
      <c r="M10" s="61">
        <f>EOMONTH(L10,Months)</f>
        <v>43830</v>
      </c>
      <c r="N10" s="61">
        <f t="shared" ref="N10:S10" si="0">K10</f>
        <v>43100</v>
      </c>
      <c r="O10" s="61">
        <f t="shared" si="0"/>
        <v>43465</v>
      </c>
      <c r="P10" s="61">
        <f t="shared" si="0"/>
        <v>43830</v>
      </c>
      <c r="Q10" s="61">
        <f t="shared" si="0"/>
        <v>43100</v>
      </c>
      <c r="R10" s="61">
        <f t="shared" si="0"/>
        <v>43465</v>
      </c>
      <c r="S10" s="61">
        <f t="shared" si="0"/>
        <v>43830</v>
      </c>
      <c r="T10" s="422" t="s">
        <v>362</v>
      </c>
      <c r="U10" s="422" t="s">
        <v>362</v>
      </c>
      <c r="V10" s="422" t="s">
        <v>362</v>
      </c>
      <c r="W10" s="422" t="s">
        <v>362</v>
      </c>
      <c r="X10" s="422" t="s">
        <v>362</v>
      </c>
      <c r="Y10" s="422" t="s">
        <v>362</v>
      </c>
    </row>
    <row r="11" spans="2:2">
      <c r="B11" s="394" t="s">
        <v>363</v>
      </c>
    </row>
    <row r="12" spans="1:25">
      <c r="A12" s="2"/>
      <c r="B12" s="18" t="e">
        <f>#REF!</f>
        <v>#REF!</v>
      </c>
      <c r="C12" s="2" t="e">
        <f>#REF!</f>
        <v>#REF!</v>
      </c>
      <c r="D12" s="423" t="e">
        <f>#REF!</f>
        <v>#REF!</v>
      </c>
      <c r="E12" s="23" t="e">
        <f>#REF!</f>
        <v>#REF!</v>
      </c>
      <c r="F12" s="72" t="e">
        <f>#REF!</f>
        <v>#REF!</v>
      </c>
      <c r="G12" s="23" t="e">
        <f>#REF!</f>
        <v>#REF!</v>
      </c>
      <c r="H12" s="23" t="e">
        <f>#REF!</f>
        <v>#REF!</v>
      </c>
      <c r="I12" s="23" t="e">
        <f>#REF!</f>
        <v>#REF!</v>
      </c>
      <c r="J12" s="445" t="e">
        <f>#REF!</f>
        <v>#REF!</v>
      </c>
      <c r="K12" s="23" t="e">
        <f>#REF!</f>
        <v>#REF!</v>
      </c>
      <c r="L12" s="23" t="e">
        <f>#REF!</f>
        <v>#REF!</v>
      </c>
      <c r="M12" s="23" t="e">
        <f>#REF!</f>
        <v>#REF!</v>
      </c>
      <c r="N12" s="23" t="e">
        <f>#REF!</f>
        <v>#REF!</v>
      </c>
      <c r="O12" s="23" t="e">
        <f>#REF!</f>
        <v>#REF!</v>
      </c>
      <c r="P12" s="23" t="e">
        <f>#REF!</f>
        <v>#REF!</v>
      </c>
      <c r="Q12" s="23" t="e">
        <f>#REF!</f>
        <v>#REF!</v>
      </c>
      <c r="R12" s="23" t="e">
        <f>#REF!</f>
        <v>#REF!</v>
      </c>
      <c r="S12" s="23" t="e">
        <f>#REF!</f>
        <v>#REF!</v>
      </c>
      <c r="T12" s="457" t="e">
        <f>#REF!</f>
        <v>#REF!</v>
      </c>
      <c r="U12" s="457" t="e">
        <f>#REF!</f>
        <v>#REF!</v>
      </c>
      <c r="V12" s="457" t="e">
        <f>#REF!</f>
        <v>#REF!</v>
      </c>
      <c r="W12" s="457" t="e">
        <f>#REF!</f>
        <v>#REF!</v>
      </c>
      <c r="X12" s="457" t="e">
        <f>#REF!</f>
        <v>#REF!</v>
      </c>
      <c r="Y12" s="457" t="e">
        <f>#REF!</f>
        <v>#REF!</v>
      </c>
    </row>
    <row r="13" spans="1:25">
      <c r="A13" s="2"/>
      <c r="B13" s="18" t="e">
        <f>#REF!</f>
        <v>#REF!</v>
      </c>
      <c r="C13" s="2" t="e">
        <f>#REF!</f>
        <v>#REF!</v>
      </c>
      <c r="D13" s="423" t="e">
        <f>#REF!</f>
        <v>#REF!</v>
      </c>
      <c r="E13" s="23" t="e">
        <f>#REF!</f>
        <v>#REF!</v>
      </c>
      <c r="F13" s="72" t="e">
        <f>#REF!</f>
        <v>#REF!</v>
      </c>
      <c r="G13" s="23" t="e">
        <f>#REF!</f>
        <v>#REF!</v>
      </c>
      <c r="H13" s="23" t="e">
        <f>#REF!</f>
        <v>#REF!</v>
      </c>
      <c r="I13" s="23" t="e">
        <f>#REF!</f>
        <v>#REF!</v>
      </c>
      <c r="J13" s="445" t="e">
        <f>#REF!</f>
        <v>#REF!</v>
      </c>
      <c r="K13" s="23" t="e">
        <f>#REF!</f>
        <v>#REF!</v>
      </c>
      <c r="L13" s="23" t="e">
        <f>#REF!</f>
        <v>#REF!</v>
      </c>
      <c r="M13" s="23" t="e">
        <f>#REF!</f>
        <v>#REF!</v>
      </c>
      <c r="N13" s="23" t="e">
        <f>#REF!</f>
        <v>#REF!</v>
      </c>
      <c r="O13" s="23" t="e">
        <f>#REF!</f>
        <v>#REF!</v>
      </c>
      <c r="P13" s="23" t="e">
        <f>#REF!</f>
        <v>#REF!</v>
      </c>
      <c r="Q13" s="23" t="e">
        <f>#REF!</f>
        <v>#REF!</v>
      </c>
      <c r="R13" s="23" t="e">
        <f>#REF!</f>
        <v>#REF!</v>
      </c>
      <c r="S13" s="23" t="e">
        <f>#REF!</f>
        <v>#REF!</v>
      </c>
      <c r="T13" s="457" t="e">
        <f>#REF!</f>
        <v>#REF!</v>
      </c>
      <c r="U13" s="457" t="e">
        <f>#REF!</f>
        <v>#REF!</v>
      </c>
      <c r="V13" s="457" t="e">
        <f>#REF!</f>
        <v>#REF!</v>
      </c>
      <c r="W13" s="457" t="e">
        <f>#REF!</f>
        <v>#REF!</v>
      </c>
      <c r="X13" s="457" t="e">
        <f>#REF!</f>
        <v>#REF!</v>
      </c>
      <c r="Y13" s="457" t="e">
        <f>#REF!</f>
        <v>#REF!</v>
      </c>
    </row>
    <row r="14" spans="1:25">
      <c r="A14" s="2"/>
      <c r="B14" s="24"/>
      <c r="C14" s="24"/>
      <c r="D14" s="424"/>
      <c r="E14" s="95"/>
      <c r="F14" s="425"/>
      <c r="G14" s="425"/>
      <c r="H14" s="425"/>
      <c r="I14" s="425"/>
      <c r="J14" s="446"/>
      <c r="K14" s="425"/>
      <c r="L14" s="425"/>
      <c r="M14" s="425"/>
      <c r="N14" s="425"/>
      <c r="O14" s="425"/>
      <c r="P14" s="425"/>
      <c r="Q14" s="425"/>
      <c r="R14" s="458"/>
      <c r="S14" s="458"/>
      <c r="T14" s="459"/>
      <c r="U14" s="459"/>
      <c r="V14" s="459"/>
      <c r="W14" s="459"/>
      <c r="X14" s="459"/>
      <c r="Y14" s="459"/>
    </row>
    <row r="15" spans="1:25">
      <c r="A15" s="2"/>
      <c r="B15" s="426" t="s">
        <v>364</v>
      </c>
      <c r="C15" s="24"/>
      <c r="D15" s="424"/>
      <c r="E15" s="95"/>
      <c r="F15" s="425"/>
      <c r="G15" s="425"/>
      <c r="H15" s="425"/>
      <c r="I15" s="425"/>
      <c r="J15" s="446"/>
      <c r="K15" s="425"/>
      <c r="L15" s="425"/>
      <c r="M15" s="425"/>
      <c r="N15" s="425"/>
      <c r="O15" s="425"/>
      <c r="P15" s="425"/>
      <c r="Q15" s="425"/>
      <c r="R15" s="458"/>
      <c r="S15" s="458"/>
      <c r="T15" s="459"/>
      <c r="U15" s="459"/>
      <c r="V15" s="459"/>
      <c r="W15" s="459"/>
      <c r="X15" s="459"/>
      <c r="Y15" s="459"/>
    </row>
    <row r="16" spans="1:25">
      <c r="A16" s="2"/>
      <c r="B16" s="427" t="e">
        <f>#REF!</f>
        <v>#REF!</v>
      </c>
      <c r="C16" s="24" t="e">
        <f>#REF!</f>
        <v>#REF!</v>
      </c>
      <c r="D16" s="428" t="e">
        <f>#REF!</f>
        <v>#REF!</v>
      </c>
      <c r="E16" s="429" t="e">
        <f>#REF!</f>
        <v>#REF!</v>
      </c>
      <c r="F16" s="430" t="e">
        <f>#REF!</f>
        <v>#REF!</v>
      </c>
      <c r="G16" s="430" t="e">
        <f>#REF!</f>
        <v>#REF!</v>
      </c>
      <c r="H16" s="429" t="e">
        <f>#REF!</f>
        <v>#REF!</v>
      </c>
      <c r="I16" s="429" t="e">
        <f>#REF!</f>
        <v>#REF!</v>
      </c>
      <c r="J16" s="447" t="e">
        <f>#REF!</f>
        <v>#REF!</v>
      </c>
      <c r="K16" s="429" t="e">
        <f>#REF!</f>
        <v>#REF!</v>
      </c>
      <c r="L16" s="429" t="e">
        <f>#REF!</f>
        <v>#REF!</v>
      </c>
      <c r="M16" s="429" t="e">
        <f>#REF!</f>
        <v>#REF!</v>
      </c>
      <c r="N16" s="429" t="e">
        <f>#REF!</f>
        <v>#REF!</v>
      </c>
      <c r="O16" s="429" t="e">
        <f>#REF!</f>
        <v>#REF!</v>
      </c>
      <c r="P16" s="429" t="e">
        <f>#REF!</f>
        <v>#REF!</v>
      </c>
      <c r="Q16" s="429" t="e">
        <f>#REF!</f>
        <v>#REF!</v>
      </c>
      <c r="R16" s="429" t="e">
        <f>#REF!</f>
        <v>#REF!</v>
      </c>
      <c r="S16" s="429" t="e">
        <f>#REF!</f>
        <v>#REF!</v>
      </c>
      <c r="T16" s="460" t="e">
        <f>#REF!</f>
        <v>#REF!</v>
      </c>
      <c r="U16" s="460" t="e">
        <f>#REF!</f>
        <v>#REF!</v>
      </c>
      <c r="V16" s="460" t="e">
        <f>#REF!</f>
        <v>#REF!</v>
      </c>
      <c r="W16" s="460" t="e">
        <f>#REF!</f>
        <v>#REF!</v>
      </c>
      <c r="X16" s="460" t="e">
        <f>#REF!</f>
        <v>#REF!</v>
      </c>
      <c r="Y16" s="460" t="e">
        <f>#REF!</f>
        <v>#REF!</v>
      </c>
    </row>
    <row r="17" spans="1: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>
      <c r="A18" s="2"/>
      <c r="B18" s="24" t="s">
        <v>365</v>
      </c>
      <c r="C18" s="24"/>
      <c r="D18" s="424"/>
      <c r="E18" s="95"/>
      <c r="F18" s="425"/>
      <c r="G18" s="425"/>
      <c r="H18" s="429">
        <f>'Merger-Model'!P173</f>
        <v>20766.7323492805</v>
      </c>
      <c r="I18" s="429">
        <f>'Merger-Model'!P160</f>
        <v>16343.211701876</v>
      </c>
      <c r="J18" s="446">
        <f>+'Merger-Model'!P176/'Merger-Model'!P173</f>
        <v>0.392451665287313</v>
      </c>
      <c r="K18" s="429">
        <f>'Merger-Model'!AB266</f>
        <v>1338.21292635722</v>
      </c>
      <c r="L18" s="429">
        <f>'Merger-Model'!AC266</f>
        <v>1800.95549025048</v>
      </c>
      <c r="M18" s="429">
        <f>'Merger-Model'!AD266</f>
        <v>2077.89213461094</v>
      </c>
      <c r="N18" s="429">
        <f>+'Merger-Model'!AB242</f>
        <v>983.140228737194</v>
      </c>
      <c r="O18" s="429">
        <f>+'Merger-Model'!AC242</f>
        <v>1245.18475908814</v>
      </c>
      <c r="P18" s="429">
        <f>+'Merger-Model'!AD242</f>
        <v>1470.18548872545</v>
      </c>
      <c r="Q18" s="429">
        <f>+'Merger-Model'!AB254</f>
        <v>915.812479720012</v>
      </c>
      <c r="R18" s="429">
        <f>+'Merger-Model'!AC254</f>
        <v>1262.152572575</v>
      </c>
      <c r="S18" s="429">
        <f>+'Merger-Model'!AD254</f>
        <v>1471.9547393094</v>
      </c>
      <c r="T18" s="459">
        <f>IFERROR(+L18/K18-1,"N/A")</f>
        <v>0.345791431826105</v>
      </c>
      <c r="U18" s="459">
        <f>IFERROR(+M18/L18-1,"N/A")</f>
        <v>0.153772064806523</v>
      </c>
      <c r="V18" s="459">
        <f>IFERROR(+O18/N18-1,"N/A")</f>
        <v>0.266538305209555</v>
      </c>
      <c r="W18" s="459">
        <f>IFERROR(+P18/O18-1,"N/A")</f>
        <v>0.180696662077745</v>
      </c>
      <c r="X18" s="459">
        <f>IFERROR(+R18/Q18-1,"N/A")</f>
        <v>0.378177957305053</v>
      </c>
      <c r="Y18" s="459">
        <f>IFERROR(+S18/R18-1,"N/A")</f>
        <v>0.166225677697879</v>
      </c>
    </row>
    <row r="19" spans="1: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>
      <c r="A20" s="2"/>
      <c r="B20" s="417" t="s">
        <v>366</v>
      </c>
      <c r="C20" s="417"/>
      <c r="D20" s="431"/>
      <c r="E20" s="431"/>
      <c r="F20" s="418"/>
      <c r="G20" s="419"/>
      <c r="H20" s="419"/>
      <c r="I20" s="421" t="str">
        <f t="shared" ref="I20:I22" si="1">I8</f>
        <v>Gross</v>
      </c>
      <c r="J20" s="443" t="str">
        <f t="shared" ref="J20:J22" si="2">J8</f>
        <v>Leverage</v>
      </c>
      <c r="K20" s="448"/>
      <c r="L20" s="419"/>
      <c r="M20" s="419"/>
      <c r="N20" s="418" t="s">
        <v>367</v>
      </c>
      <c r="O20" s="419"/>
      <c r="P20" s="419"/>
      <c r="Q20" s="418" t="s">
        <v>367</v>
      </c>
      <c r="R20" s="419"/>
      <c r="S20" s="419"/>
      <c r="T20" s="461"/>
      <c r="U20" s="461"/>
      <c r="V20" s="2"/>
      <c r="W20" s="2"/>
      <c r="X20" s="2"/>
      <c r="Y20" s="2"/>
    </row>
    <row r="21" spans="1:25">
      <c r="A21" s="2"/>
      <c r="B21" s="420"/>
      <c r="C21" s="420"/>
      <c r="D21" s="421"/>
      <c r="E21" s="421"/>
      <c r="F21" s="421" t="s">
        <v>345</v>
      </c>
      <c r="G21" s="421" t="s">
        <v>346</v>
      </c>
      <c r="H21" s="421"/>
      <c r="I21" s="421" t="str">
        <f t="shared" si="1"/>
        <v>Real Estate</v>
      </c>
      <c r="J21" s="421" t="str">
        <f t="shared" si="2"/>
        <v>(Debt to</v>
      </c>
      <c r="K21" s="418" t="s">
        <v>32</v>
      </c>
      <c r="L21" s="419"/>
      <c r="M21" s="419"/>
      <c r="N21" s="418" t="s">
        <v>353</v>
      </c>
      <c r="O21" s="444"/>
      <c r="P21" s="444"/>
      <c r="Q21" s="418" t="s">
        <v>354</v>
      </c>
      <c r="R21" s="444"/>
      <c r="S21" s="444"/>
      <c r="T21" s="462"/>
      <c r="U21" s="462"/>
      <c r="V21" s="104"/>
      <c r="W21" s="104"/>
      <c r="X21" s="104"/>
      <c r="Y21" s="104"/>
    </row>
    <row r="22" spans="1:25">
      <c r="A22" s="2"/>
      <c r="B22" s="138" t="s">
        <v>355</v>
      </c>
      <c r="C22" s="138"/>
      <c r="D22" s="422"/>
      <c r="E22" s="422"/>
      <c r="F22" s="422" t="s">
        <v>359</v>
      </c>
      <c r="G22" s="422" t="s">
        <v>359</v>
      </c>
      <c r="H22" s="422"/>
      <c r="I22" s="422" t="str">
        <f t="shared" si="1"/>
        <v>Assets</v>
      </c>
      <c r="J22" s="422" t="str">
        <f t="shared" si="2"/>
        <v>Total Assets)</v>
      </c>
      <c r="K22" s="61">
        <f>+$K$10</f>
        <v>43100</v>
      </c>
      <c r="L22" s="61">
        <f>+$L$10</f>
        <v>43465</v>
      </c>
      <c r="M22" s="61">
        <f>+$M$10</f>
        <v>43830</v>
      </c>
      <c r="N22" s="61">
        <f>+$N$10</f>
        <v>43100</v>
      </c>
      <c r="O22" s="61">
        <f>+$O$10</f>
        <v>43465</v>
      </c>
      <c r="P22" s="61">
        <f>+$P$10</f>
        <v>43830</v>
      </c>
      <c r="Q22" s="61">
        <f>+$Q$10</f>
        <v>43100</v>
      </c>
      <c r="R22" s="61">
        <f>+$R$10</f>
        <v>43465</v>
      </c>
      <c r="S22" s="463">
        <f>+$S$10</f>
        <v>43830</v>
      </c>
      <c r="T22" s="464"/>
      <c r="U22" s="394" t="s">
        <v>368</v>
      </c>
      <c r="W22" s="465" t="s">
        <v>369</v>
      </c>
      <c r="X22" s="465" t="s">
        <v>370</v>
      </c>
      <c r="Y22" s="465" t="s">
        <v>371</v>
      </c>
    </row>
    <row r="23" spans="1:25">
      <c r="A23" s="2"/>
      <c r="B23" s="394" t="str">
        <f t="shared" ref="B23:B25" si="3">B11</f>
        <v>Standalone Entities:</v>
      </c>
      <c r="E23" s="75"/>
      <c r="F23" s="128"/>
      <c r="G23" s="128"/>
      <c r="H23" s="128"/>
      <c r="I23" s="128"/>
      <c r="J23" s="449"/>
      <c r="K23" s="450"/>
      <c r="L23" s="450"/>
      <c r="M23" s="450"/>
      <c r="N23" s="450"/>
      <c r="O23" s="450"/>
      <c r="P23" s="450"/>
      <c r="Q23" s="450"/>
      <c r="R23" s="450"/>
      <c r="S23" s="450"/>
      <c r="T23" s="450"/>
      <c r="U23" s="26" t="s">
        <v>372</v>
      </c>
      <c r="W23" s="65" t="e">
        <f t="array" ref="W23:W28">TRANSPOSE(T12:Y12)</f>
        <v>#REF!</v>
      </c>
      <c r="X23" s="65" t="e">
        <f t="array" ref="X23:X28">TRANSPOSE(T16:Y16)</f>
        <v>#REF!</v>
      </c>
      <c r="Y23" s="65">
        <f t="array" ref="Y23:Y28">TRANSPOSE(T18:Y18)</f>
        <v>0.345791431826105</v>
      </c>
    </row>
    <row r="24" spans="1:25">
      <c r="A24" s="2"/>
      <c r="B24" s="18" t="e">
        <f t="shared" si="3"/>
        <v>#REF!</v>
      </c>
      <c r="C24" s="2" t="e">
        <f t="shared" ref="C24:C28" si="4">C12</f>
        <v>#REF!</v>
      </c>
      <c r="D24" s="423"/>
      <c r="E24" s="75"/>
      <c r="F24" s="16" t="e">
        <f t="shared" ref="F24:F28" si="5">+F12</f>
        <v>#REF!</v>
      </c>
      <c r="G24" s="94" t="e">
        <f t="shared" ref="G24:G28" si="6">+G12</f>
        <v>#REF!</v>
      </c>
      <c r="H24" s="94"/>
      <c r="I24" s="94"/>
      <c r="J24" s="449"/>
      <c r="K24" s="450" t="str">
        <f t="shared" ref="K24:M24" si="7">IFERROR(IF(OR(+$G24/K12&lt;0,+$G24/K12&gt;=100),"NM",+$G24/K12),"N/A")</f>
        <v>N/A</v>
      </c>
      <c r="L24" s="450" t="str">
        <f t="shared" si="7"/>
        <v>N/A</v>
      </c>
      <c r="M24" s="450" t="str">
        <f t="shared" si="7"/>
        <v>N/A</v>
      </c>
      <c r="N24" s="450" t="str">
        <f t="shared" ref="N24:S24" si="8">IFERROR(IF(OR(+$F24/N12&lt;0,+$F24/N12&gt;=100),"NM",+$F24/N12),"N/A")</f>
        <v>N/A</v>
      </c>
      <c r="O24" s="450" t="str">
        <f t="shared" si="8"/>
        <v>N/A</v>
      </c>
      <c r="P24" s="450" t="str">
        <f t="shared" si="8"/>
        <v>N/A</v>
      </c>
      <c r="Q24" s="450" t="str">
        <f t="shared" si="8"/>
        <v>N/A</v>
      </c>
      <c r="R24" s="450" t="str">
        <f t="shared" si="8"/>
        <v>N/A</v>
      </c>
      <c r="S24" s="450" t="str">
        <f t="shared" si="8"/>
        <v>N/A</v>
      </c>
      <c r="T24" s="450"/>
      <c r="U24" s="26" t="s">
        <v>373</v>
      </c>
      <c r="W24" s="65" t="e">
        <v>#REF!</v>
      </c>
      <c r="X24" s="65" t="e">
        <v>#REF!</v>
      </c>
      <c r="Y24" s="65">
        <v>0.153772064806523</v>
      </c>
    </row>
    <row r="25" spans="1:25">
      <c r="A25" s="2"/>
      <c r="B25" s="18" t="e">
        <f t="shared" si="3"/>
        <v>#REF!</v>
      </c>
      <c r="C25" s="2" t="e">
        <f t="shared" si="4"/>
        <v>#REF!</v>
      </c>
      <c r="D25" s="423"/>
      <c r="E25" s="75"/>
      <c r="F25" s="16" t="e">
        <f t="shared" si="5"/>
        <v>#REF!</v>
      </c>
      <c r="G25" s="94" t="e">
        <f t="shared" si="6"/>
        <v>#REF!</v>
      </c>
      <c r="H25" s="94"/>
      <c r="I25" s="94"/>
      <c r="J25" s="449"/>
      <c r="K25" s="450" t="str">
        <f t="shared" ref="K25:M25" si="9">IFERROR(IF(OR(+$G25/K13&lt;0,+$G25/K13&gt;=100),"NM",+$G25/K13),"N/A")</f>
        <v>N/A</v>
      </c>
      <c r="L25" s="450" t="str">
        <f t="shared" si="9"/>
        <v>N/A</v>
      </c>
      <c r="M25" s="450" t="str">
        <f t="shared" si="9"/>
        <v>N/A</v>
      </c>
      <c r="N25" s="450" t="str">
        <f t="shared" ref="N25:S25" si="10">IFERROR(IF(OR(+$F25/N13&lt;0,+$F25/N13&gt;=100),"NM",+$F25/N13),"N/A")</f>
        <v>N/A</v>
      </c>
      <c r="O25" s="450" t="str">
        <f t="shared" si="10"/>
        <v>N/A</v>
      </c>
      <c r="P25" s="450" t="str">
        <f t="shared" si="10"/>
        <v>N/A</v>
      </c>
      <c r="Q25" s="450" t="str">
        <f t="shared" si="10"/>
        <v>N/A</v>
      </c>
      <c r="R25" s="450" t="str">
        <f t="shared" si="10"/>
        <v>N/A</v>
      </c>
      <c r="S25" s="450" t="str">
        <f t="shared" si="10"/>
        <v>N/A</v>
      </c>
      <c r="T25" s="450"/>
      <c r="U25" s="26" t="s">
        <v>374</v>
      </c>
      <c r="W25" s="65" t="e">
        <v>#REF!</v>
      </c>
      <c r="X25" s="65" t="e">
        <v>#REF!</v>
      </c>
      <c r="Y25" s="65">
        <v>0.266538305209555</v>
      </c>
    </row>
    <row r="26" spans="1:25">
      <c r="A26" s="2"/>
      <c r="B26" s="24"/>
      <c r="C26" s="24"/>
      <c r="D26" s="424"/>
      <c r="E26" s="75"/>
      <c r="F26" s="16"/>
      <c r="G26" s="94"/>
      <c r="H26" s="94"/>
      <c r="I26" s="94"/>
      <c r="J26" s="449"/>
      <c r="K26" s="450"/>
      <c r="L26" s="450"/>
      <c r="M26" s="450"/>
      <c r="N26" s="450"/>
      <c r="O26" s="450"/>
      <c r="P26" s="450"/>
      <c r="Q26" s="450"/>
      <c r="R26" s="450"/>
      <c r="S26" s="450"/>
      <c r="T26" s="450"/>
      <c r="U26" s="26" t="s">
        <v>375</v>
      </c>
      <c r="W26" s="65" t="e">
        <v>#REF!</v>
      </c>
      <c r="X26" s="65" t="e">
        <v>#REF!</v>
      </c>
      <c r="Y26" s="65">
        <v>0.180696662077745</v>
      </c>
    </row>
    <row r="27" spans="1:25">
      <c r="A27" s="2"/>
      <c r="B27" s="426" t="str">
        <f t="shared" ref="B27:B30" si="11">B15</f>
        <v>Closest Comparable Public Company for Combined Entity:</v>
      </c>
      <c r="C27" s="24"/>
      <c r="D27" s="424"/>
      <c r="E27" s="75"/>
      <c r="F27" s="16"/>
      <c r="G27" s="94"/>
      <c r="H27" s="94"/>
      <c r="I27" s="94"/>
      <c r="J27" s="449"/>
      <c r="K27" s="450"/>
      <c r="L27" s="450"/>
      <c r="M27" s="450"/>
      <c r="N27" s="450"/>
      <c r="O27" s="450"/>
      <c r="P27" s="450"/>
      <c r="Q27" s="450"/>
      <c r="R27" s="450"/>
      <c r="S27" s="450"/>
      <c r="T27" s="450"/>
      <c r="U27" s="26" t="s">
        <v>376</v>
      </c>
      <c r="W27" s="65" t="e">
        <v>#REF!</v>
      </c>
      <c r="X27" s="65" t="e">
        <v>#REF!</v>
      </c>
      <c r="Y27" s="65">
        <v>0.378177957305053</v>
      </c>
    </row>
    <row r="28" spans="1:25">
      <c r="A28" s="2"/>
      <c r="B28" s="427" t="e">
        <f t="shared" si="11"/>
        <v>#REF!</v>
      </c>
      <c r="C28" s="24" t="e">
        <f t="shared" si="4"/>
        <v>#REF!</v>
      </c>
      <c r="D28" s="424"/>
      <c r="E28" s="75"/>
      <c r="F28" s="16" t="e">
        <f t="shared" si="5"/>
        <v>#REF!</v>
      </c>
      <c r="G28" s="94" t="e">
        <f t="shared" si="6"/>
        <v>#REF!</v>
      </c>
      <c r="H28" s="94"/>
      <c r="I28" s="94"/>
      <c r="J28" s="449"/>
      <c r="K28" s="450" t="str">
        <f t="shared" ref="K28:M28" si="12">IFERROR(IF(OR(+$G28/K16&lt;0,+$G28/K16&gt;=100),"NM",+$G28/K16),"N/A")</f>
        <v>N/A</v>
      </c>
      <c r="L28" s="450" t="str">
        <f t="shared" si="12"/>
        <v>N/A</v>
      </c>
      <c r="M28" s="450" t="str">
        <f t="shared" si="12"/>
        <v>N/A</v>
      </c>
      <c r="N28" s="450" t="str">
        <f t="shared" ref="N28:S28" si="13">IFERROR(IF(OR(+$F28/N16&lt;0,+$F28/N16&gt;=100),"NM",+$F28/N16),"N/A")</f>
        <v>N/A</v>
      </c>
      <c r="O28" s="450" t="str">
        <f t="shared" si="13"/>
        <v>N/A</v>
      </c>
      <c r="P28" s="450" t="str">
        <f t="shared" si="13"/>
        <v>N/A</v>
      </c>
      <c r="Q28" s="450" t="str">
        <f t="shared" si="13"/>
        <v>N/A</v>
      </c>
      <c r="R28" s="450" t="str">
        <f t="shared" si="13"/>
        <v>N/A</v>
      </c>
      <c r="S28" s="450" t="str">
        <f t="shared" si="13"/>
        <v>N/A</v>
      </c>
      <c r="T28" s="450"/>
      <c r="U28" s="26" t="s">
        <v>377</v>
      </c>
      <c r="W28" s="65" t="e">
        <v>#REF!</v>
      </c>
      <c r="X28" s="65" t="e">
        <v>#REF!</v>
      </c>
      <c r="Y28" s="65">
        <v>0.166225677697879</v>
      </c>
    </row>
    <row r="29" spans="1: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2:25">
      <c r="B30" s="24" t="str">
        <f t="shared" si="11"/>
        <v>Combined Entity - Post-Transaction and Acquisition Effects:</v>
      </c>
      <c r="C30" s="24"/>
      <c r="D30" s="424"/>
      <c r="K30" s="451" t="str">
        <f t="shared" ref="K30:S30" si="14">+K28</f>
        <v>N/A</v>
      </c>
      <c r="L30" s="451" t="str">
        <f t="shared" si="14"/>
        <v>N/A</v>
      </c>
      <c r="M30" s="451" t="str">
        <f t="shared" si="14"/>
        <v>N/A</v>
      </c>
      <c r="N30" s="451" t="str">
        <f t="shared" si="14"/>
        <v>N/A</v>
      </c>
      <c r="O30" s="451" t="str">
        <f t="shared" si="14"/>
        <v>N/A</v>
      </c>
      <c r="P30" s="451" t="str">
        <f t="shared" si="14"/>
        <v>N/A</v>
      </c>
      <c r="Q30" s="451" t="str">
        <f t="shared" si="14"/>
        <v>N/A</v>
      </c>
      <c r="R30" s="451" t="str">
        <f t="shared" si="14"/>
        <v>N/A</v>
      </c>
      <c r="S30" s="451" t="str">
        <f t="shared" si="14"/>
        <v>N/A</v>
      </c>
      <c r="U30" s="394" t="str">
        <f t="shared" ref="U30:Y30" si="15">U22</f>
        <v>Metric</v>
      </c>
      <c r="W30" s="466" t="str">
        <f t="shared" si="15"/>
        <v>DLR</v>
      </c>
      <c r="X30" s="466" t="str">
        <f t="shared" si="15"/>
        <v>EQIX</v>
      </c>
      <c r="Y30" s="466" t="str">
        <f t="shared" si="15"/>
        <v>DLR + DFT</v>
      </c>
    </row>
    <row r="31" spans="21:25">
      <c r="U31" s="26" t="s">
        <v>378</v>
      </c>
      <c r="W31" s="385" t="e">
        <f>+L12</f>
        <v>#REF!</v>
      </c>
      <c r="X31" s="385" t="e">
        <f>+L16</f>
        <v>#REF!</v>
      </c>
      <c r="Y31" s="385">
        <f>L18</f>
        <v>1800.95549025048</v>
      </c>
    </row>
    <row r="32" spans="2:25">
      <c r="B32" s="26" t="s">
        <v>379</v>
      </c>
      <c r="K32" s="95" t="e">
        <f t="shared" ref="K32:M32" si="16">+K18*K30</f>
        <v>#VALUE!</v>
      </c>
      <c r="L32" s="95" t="e">
        <f t="shared" si="16"/>
        <v>#VALUE!</v>
      </c>
      <c r="M32" s="95" t="e">
        <f t="shared" si="16"/>
        <v>#VALUE!</v>
      </c>
      <c r="U32" s="26" t="s">
        <v>380</v>
      </c>
      <c r="W32" s="385" t="e">
        <f>+M12</f>
        <v>#REF!</v>
      </c>
      <c r="X32" s="385" t="e">
        <f>+M16</f>
        <v>#REF!</v>
      </c>
      <c r="Y32" s="385">
        <f>+M18</f>
        <v>2077.89213461094</v>
      </c>
    </row>
    <row r="33" ht="15.75" spans="2:25">
      <c r="B33" s="262" t="s">
        <v>381</v>
      </c>
      <c r="K33" s="429">
        <f>+'Merger-Model'!$P$164</f>
        <v>125.987971928149</v>
      </c>
      <c r="L33" s="429">
        <f>+'Merger-Model'!$P$164</f>
        <v>125.987971928149</v>
      </c>
      <c r="M33" s="429">
        <f>+'Merger-Model'!$P$164</f>
        <v>125.987971928149</v>
      </c>
      <c r="U33" s="26" t="s">
        <v>382</v>
      </c>
      <c r="W33" s="385" t="e">
        <f>+O12</f>
        <v>#REF!</v>
      </c>
      <c r="X33" s="385" t="e">
        <f>+O16</f>
        <v>#REF!</v>
      </c>
      <c r="Y33" s="385">
        <f>+O18</f>
        <v>1245.18475908814</v>
      </c>
    </row>
    <row r="34" ht="15.75" spans="2:25">
      <c r="B34" s="51" t="s">
        <v>383</v>
      </c>
      <c r="K34" s="429">
        <f>+'Merger-Model'!$P$168</f>
        <v>113.8385</v>
      </c>
      <c r="L34" s="429">
        <f>+'Merger-Model'!$P$168</f>
        <v>113.8385</v>
      </c>
      <c r="M34" s="429">
        <f>+'Merger-Model'!$P$168</f>
        <v>113.8385</v>
      </c>
      <c r="U34" s="26" t="s">
        <v>384</v>
      </c>
      <c r="W34" s="385" t="e">
        <f>+P12</f>
        <v>#REF!</v>
      </c>
      <c r="X34" s="385" t="e">
        <f>+P16</f>
        <v>#REF!</v>
      </c>
      <c r="Y34" s="385">
        <f>+P18</f>
        <v>1470.18548872545</v>
      </c>
    </row>
    <row r="35" ht="15.75" spans="2:25">
      <c r="B35" s="262" t="s">
        <v>385</v>
      </c>
      <c r="K35" s="429">
        <f>-'Merger-Model'!$P$176</f>
        <v>-8149.93869305106</v>
      </c>
      <c r="L35" s="429">
        <f>-'Merger-Model'!$P$176</f>
        <v>-8149.93869305106</v>
      </c>
      <c r="M35" s="429">
        <f>-'Merger-Model'!$P$176</f>
        <v>-8149.93869305106</v>
      </c>
      <c r="U35" s="26" t="s">
        <v>386</v>
      </c>
      <c r="W35" s="385" t="e">
        <f>+R12</f>
        <v>#REF!</v>
      </c>
      <c r="X35" s="385" t="e">
        <f>+R16</f>
        <v>#REF!</v>
      </c>
      <c r="Y35" s="385">
        <f>+R18</f>
        <v>1262.152572575</v>
      </c>
    </row>
    <row r="36" ht="15.75" spans="2:25">
      <c r="B36" s="262" t="s">
        <v>387</v>
      </c>
      <c r="K36" s="429">
        <f>-'Merger-Model'!$P$182</f>
        <v>-1208.1735</v>
      </c>
      <c r="L36" s="429">
        <f>-'Merger-Model'!$P$182</f>
        <v>-1208.1735</v>
      </c>
      <c r="M36" s="429">
        <f>-'Merger-Model'!$P$182</f>
        <v>-1208.1735</v>
      </c>
      <c r="U36" s="26" t="s">
        <v>388</v>
      </c>
      <c r="W36" s="385" t="e">
        <f>+S12</f>
        <v>#REF!</v>
      </c>
      <c r="X36" s="385" t="e">
        <f>+S16</f>
        <v>#REF!</v>
      </c>
      <c r="Y36" s="385">
        <f>+S18</f>
        <v>1471.9547393094</v>
      </c>
    </row>
    <row r="37" ht="15.75" spans="2:13">
      <c r="B37" s="262" t="s">
        <v>389</v>
      </c>
      <c r="K37" s="429">
        <f>-'Merger-Model'!$P$184</f>
        <v>-8.16815</v>
      </c>
      <c r="L37" s="429">
        <f>-'Merger-Model'!$P$184</f>
        <v>-8.16815</v>
      </c>
      <c r="M37" s="429">
        <f>-'Merger-Model'!$P$184</f>
        <v>-8.16815</v>
      </c>
    </row>
    <row r="38" spans="2:24">
      <c r="B38" s="432" t="s">
        <v>390</v>
      </c>
      <c r="C38" s="432"/>
      <c r="D38" s="432"/>
      <c r="E38" s="432"/>
      <c r="F38" s="432"/>
      <c r="G38" s="432"/>
      <c r="H38" s="432"/>
      <c r="I38" s="432"/>
      <c r="J38" s="432"/>
      <c r="K38" s="452" t="e">
        <f t="shared" ref="K38:M38" si="17">SUM(K32:K37)</f>
        <v>#VALUE!</v>
      </c>
      <c r="L38" s="452" t="e">
        <f t="shared" si="17"/>
        <v>#VALUE!</v>
      </c>
      <c r="M38" s="452" t="e">
        <f t="shared" si="17"/>
        <v>#VALUE!</v>
      </c>
      <c r="N38" s="453" t="e">
        <f t="shared" ref="N38:S38" si="18">+N18*N30</f>
        <v>#VALUE!</v>
      </c>
      <c r="O38" s="453" t="e">
        <f t="shared" si="18"/>
        <v>#VALUE!</v>
      </c>
      <c r="P38" s="453" t="e">
        <f t="shared" si="18"/>
        <v>#VALUE!</v>
      </c>
      <c r="Q38" s="453" t="e">
        <f t="shared" si="18"/>
        <v>#VALUE!</v>
      </c>
      <c r="R38" s="453" t="e">
        <f t="shared" si="18"/>
        <v>#VALUE!</v>
      </c>
      <c r="S38" s="453" t="e">
        <f t="shared" si="18"/>
        <v>#VALUE!</v>
      </c>
      <c r="U38" s="394" t="s">
        <v>368</v>
      </c>
      <c r="W38" s="466" t="s">
        <v>369</v>
      </c>
      <c r="X38" s="466" t="s">
        <v>371</v>
      </c>
    </row>
    <row r="39" spans="11:24">
      <c r="K39" s="385"/>
      <c r="L39" s="385"/>
      <c r="M39" s="385"/>
      <c r="N39" s="95"/>
      <c r="O39" s="95"/>
      <c r="P39" s="95"/>
      <c r="Q39" s="95"/>
      <c r="R39" s="95"/>
      <c r="S39" s="95"/>
      <c r="U39" s="26" t="s">
        <v>391</v>
      </c>
      <c r="W39" s="405">
        <f t="array" ref="W39:W47">TRANSPOSE(K43:S43)</f>
        <v>118.02</v>
      </c>
      <c r="X39" s="405" t="e">
        <f t="array" ref="X39:X47">TRANSPOSE(K42:S42)</f>
        <v>#VALUE!</v>
      </c>
    </row>
    <row r="40" ht="15.75" spans="2:24">
      <c r="B40" s="26" t="s">
        <v>392</v>
      </c>
      <c r="K40" s="312">
        <f>+'Merger-Model'!$P$138+'Merger-Model'!$K$11</f>
        <v>212.289550814869</v>
      </c>
      <c r="L40" s="312">
        <f>+'Merger-Model'!$P$138+'Merger-Model'!$K$11</f>
        <v>212.289550814869</v>
      </c>
      <c r="M40" s="312">
        <f>+'Merger-Model'!$P$138+'Merger-Model'!$K$11</f>
        <v>212.289550814869</v>
      </c>
      <c r="N40" s="312">
        <f>+'Merger-Model'!$P$138+'Merger-Model'!$K$11</f>
        <v>212.289550814869</v>
      </c>
      <c r="O40" s="312">
        <f>+'Merger-Model'!$P$138+'Merger-Model'!$K$11</f>
        <v>212.289550814869</v>
      </c>
      <c r="P40" s="312">
        <f>+'Merger-Model'!$P$138+'Merger-Model'!$K$11</f>
        <v>212.289550814869</v>
      </c>
      <c r="Q40" s="312">
        <f>+'Merger-Model'!$P$138+'Merger-Model'!$K$11</f>
        <v>212.289550814869</v>
      </c>
      <c r="R40" s="312">
        <f>+'Merger-Model'!$P$138+'Merger-Model'!$K$11</f>
        <v>212.289550814869</v>
      </c>
      <c r="S40" s="312">
        <f>+'Merger-Model'!$P$138+'Merger-Model'!$K$11</f>
        <v>212.289550814869</v>
      </c>
      <c r="U40" s="26" t="s">
        <v>393</v>
      </c>
      <c r="W40" s="408">
        <v>118.02</v>
      </c>
      <c r="X40" s="408" t="e">
        <v>#VALUE!</v>
      </c>
    </row>
    <row r="41" ht="15.75" spans="11:24">
      <c r="K41" s="312"/>
      <c r="L41" s="312"/>
      <c r="M41" s="312"/>
      <c r="N41" s="312"/>
      <c r="O41" s="312"/>
      <c r="P41" s="312"/>
      <c r="Q41" s="312"/>
      <c r="R41" s="312"/>
      <c r="S41" s="312"/>
      <c r="U41" s="26" t="s">
        <v>394</v>
      </c>
      <c r="W41" s="408">
        <v>118.02</v>
      </c>
      <c r="X41" s="408" t="e">
        <v>#VALUE!</v>
      </c>
    </row>
    <row r="42" spans="2:24">
      <c r="B42" s="394" t="s">
        <v>395</v>
      </c>
      <c r="K42" s="454" t="e">
        <f t="shared" ref="K42:S42" si="19">+K38/K40</f>
        <v>#VALUE!</v>
      </c>
      <c r="L42" s="454" t="e">
        <f t="shared" si="19"/>
        <v>#VALUE!</v>
      </c>
      <c r="M42" s="454" t="e">
        <f t="shared" si="19"/>
        <v>#VALUE!</v>
      </c>
      <c r="N42" s="454" t="e">
        <f t="shared" si="19"/>
        <v>#VALUE!</v>
      </c>
      <c r="O42" s="454" t="e">
        <f t="shared" si="19"/>
        <v>#VALUE!</v>
      </c>
      <c r="P42" s="454" t="e">
        <f t="shared" si="19"/>
        <v>#VALUE!</v>
      </c>
      <c r="Q42" s="454" t="e">
        <f t="shared" si="19"/>
        <v>#VALUE!</v>
      </c>
      <c r="R42" s="454" t="e">
        <f t="shared" si="19"/>
        <v>#VALUE!</v>
      </c>
      <c r="S42" s="454" t="e">
        <f t="shared" si="19"/>
        <v>#VALUE!</v>
      </c>
      <c r="U42" s="26" t="s">
        <v>396</v>
      </c>
      <c r="W42" s="408">
        <v>118.02</v>
      </c>
      <c r="X42" s="408" t="e">
        <v>#VALUE!</v>
      </c>
    </row>
    <row r="43" spans="2:24">
      <c r="B43" s="26" t="s">
        <v>397</v>
      </c>
      <c r="K43" s="411">
        <f>Buyer_Share_Price</f>
        <v>118.02</v>
      </c>
      <c r="L43" s="411">
        <f>Buyer_Share_Price</f>
        <v>118.02</v>
      </c>
      <c r="M43" s="411">
        <f>Buyer_Share_Price</f>
        <v>118.02</v>
      </c>
      <c r="N43" s="411">
        <f>Buyer_Share_Price</f>
        <v>118.02</v>
      </c>
      <c r="O43" s="411">
        <f>Buyer_Share_Price</f>
        <v>118.02</v>
      </c>
      <c r="P43" s="411">
        <f>Buyer_Share_Price</f>
        <v>118.02</v>
      </c>
      <c r="Q43" s="411">
        <f>Buyer_Share_Price</f>
        <v>118.02</v>
      </c>
      <c r="R43" s="411">
        <f>Buyer_Share_Price</f>
        <v>118.02</v>
      </c>
      <c r="S43" s="411">
        <f>Buyer_Share_Price</f>
        <v>118.02</v>
      </c>
      <c r="U43" s="26" t="s">
        <v>398</v>
      </c>
      <c r="W43" s="408">
        <v>118.02</v>
      </c>
      <c r="X43" s="408" t="e">
        <v>#VALUE!</v>
      </c>
    </row>
    <row r="44" spans="21:24">
      <c r="U44" s="26" t="s">
        <v>399</v>
      </c>
      <c r="W44" s="408">
        <v>118.02</v>
      </c>
      <c r="X44" s="408" t="e">
        <v>#VALUE!</v>
      </c>
    </row>
    <row r="45" spans="2:24">
      <c r="B45" s="394" t="s">
        <v>400</v>
      </c>
      <c r="K45" s="455" t="e">
        <f t="shared" ref="K45:S45" si="20">+K42-K43</f>
        <v>#VALUE!</v>
      </c>
      <c r="L45" s="455" t="e">
        <f t="shared" si="20"/>
        <v>#VALUE!</v>
      </c>
      <c r="M45" s="455" t="e">
        <f t="shared" si="20"/>
        <v>#VALUE!</v>
      </c>
      <c r="N45" s="455" t="e">
        <f t="shared" si="20"/>
        <v>#VALUE!</v>
      </c>
      <c r="O45" s="455" t="e">
        <f t="shared" si="20"/>
        <v>#VALUE!</v>
      </c>
      <c r="P45" s="455" t="e">
        <f t="shared" si="20"/>
        <v>#VALUE!</v>
      </c>
      <c r="Q45" s="455" t="e">
        <f t="shared" si="20"/>
        <v>#VALUE!</v>
      </c>
      <c r="R45" s="455" t="e">
        <f t="shared" si="20"/>
        <v>#VALUE!</v>
      </c>
      <c r="S45" s="455" t="e">
        <f t="shared" si="20"/>
        <v>#VALUE!</v>
      </c>
      <c r="U45" s="26" t="s">
        <v>401</v>
      </c>
      <c r="W45" s="408">
        <v>118.02</v>
      </c>
      <c r="X45" s="408" t="e">
        <v>#VALUE!</v>
      </c>
    </row>
    <row r="46" spans="21:24">
      <c r="U46" s="26" t="s">
        <v>402</v>
      </c>
      <c r="W46" s="408">
        <v>118.02</v>
      </c>
      <c r="X46" s="408" t="e">
        <v>#VALUE!</v>
      </c>
    </row>
    <row r="47" spans="2:24">
      <c r="B47" s="26" t="s">
        <v>403</v>
      </c>
      <c r="K47" s="408">
        <f>(Offer_Price-Seller_Share_Price)*'Merger-Model'!$S$14/K40</f>
        <v>3.74986146500247</v>
      </c>
      <c r="L47" s="408">
        <f>(Offer_Price-Seller_Share_Price)*'Merger-Model'!$S$14/L40</f>
        <v>3.74986146500247</v>
      </c>
      <c r="M47" s="408">
        <f>(Offer_Price-Seller_Share_Price)*'Merger-Model'!$S$14/M40</f>
        <v>3.74986146500247</v>
      </c>
      <c r="N47" s="408">
        <f>(Offer_Price-Seller_Share_Price)*'Merger-Model'!$S$14/N40</f>
        <v>3.74986146500247</v>
      </c>
      <c r="O47" s="408">
        <f>(Offer_Price-Seller_Share_Price)*'Merger-Model'!$S$14/O40</f>
        <v>3.74986146500247</v>
      </c>
      <c r="P47" s="408">
        <f>(Offer_Price-Seller_Share_Price)*'Merger-Model'!$S$14/P40</f>
        <v>3.74986146500247</v>
      </c>
      <c r="Q47" s="408">
        <f>(Offer_Price-Seller_Share_Price)*'Merger-Model'!$S$14/Q40</f>
        <v>3.74986146500247</v>
      </c>
      <c r="R47" s="408">
        <f>(Offer_Price-Seller_Share_Price)*'Merger-Model'!$S$14/R40</f>
        <v>3.74986146500247</v>
      </c>
      <c r="S47" s="408">
        <f>(Offer_Price-Seller_Share_Price)*'Merger-Model'!$S$14/S40</f>
        <v>3.74986146500247</v>
      </c>
      <c r="U47" s="26" t="s">
        <v>404</v>
      </c>
      <c r="W47" s="408">
        <v>118.02</v>
      </c>
      <c r="X47" s="408" t="e">
        <v>#VALUE!</v>
      </c>
    </row>
    <row r="49" spans="2:25">
      <c r="B49" s="138" t="s">
        <v>405</v>
      </c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</row>
    <row r="51" spans="2:14">
      <c r="B51" s="139"/>
      <c r="C51" s="140"/>
      <c r="D51" s="141" t="s">
        <v>406</v>
      </c>
      <c r="E51" s="142"/>
      <c r="F51" s="142"/>
      <c r="G51" s="142"/>
      <c r="H51" s="142"/>
      <c r="I51" s="142"/>
      <c r="J51" s="142"/>
      <c r="K51" s="142"/>
      <c r="L51" s="142"/>
      <c r="M51" s="142"/>
      <c r="N51" s="161"/>
    </row>
    <row r="52" spans="2:14">
      <c r="B52" s="143"/>
      <c r="C52" s="433" t="e">
        <f>+$P$45</f>
        <v>#VALUE!</v>
      </c>
      <c r="D52" s="434">
        <v>12.2</v>
      </c>
      <c r="E52" s="435">
        <f t="shared" ref="E52:N52" si="21">+D52+1.3</f>
        <v>13.5</v>
      </c>
      <c r="F52" s="435">
        <f t="shared" si="21"/>
        <v>14.8</v>
      </c>
      <c r="G52" s="436">
        <f t="shared" si="21"/>
        <v>16.1</v>
      </c>
      <c r="H52" s="435">
        <f t="shared" si="21"/>
        <v>17.4</v>
      </c>
      <c r="I52" s="435">
        <f t="shared" si="21"/>
        <v>18.7</v>
      </c>
      <c r="J52" s="435">
        <f t="shared" si="21"/>
        <v>20</v>
      </c>
      <c r="K52" s="435">
        <f t="shared" si="21"/>
        <v>21.3</v>
      </c>
      <c r="L52" s="435">
        <f t="shared" si="21"/>
        <v>22.6</v>
      </c>
      <c r="M52" s="435">
        <f t="shared" si="21"/>
        <v>23.9</v>
      </c>
      <c r="N52" s="456">
        <f t="shared" si="21"/>
        <v>25.2</v>
      </c>
    </row>
    <row r="53" ht="15.75" spans="2:14">
      <c r="B53" s="143"/>
      <c r="C53" s="437">
        <v>24</v>
      </c>
      <c r="D53" s="228" t="e">
        <v>#REF!</v>
      </c>
      <c r="E53" s="233" t="e">
        <v>#REF!</v>
      </c>
      <c r="F53" s="233" t="e">
        <v>#REF!</v>
      </c>
      <c r="G53" s="228" t="e">
        <v>#REF!</v>
      </c>
      <c r="H53" s="233" t="e">
        <v>#REF!</v>
      </c>
      <c r="I53" s="233" t="e">
        <v>#REF!</v>
      </c>
      <c r="J53" s="233" t="e">
        <v>#REF!</v>
      </c>
      <c r="K53" s="233" t="e">
        <v>#REF!</v>
      </c>
      <c r="L53" s="233" t="e">
        <v>#REF!</v>
      </c>
      <c r="M53" s="233" t="e">
        <v>#REF!</v>
      </c>
      <c r="N53" s="228" t="e">
        <v>#REF!</v>
      </c>
    </row>
    <row r="54" ht="15.75" customHeight="1" spans="2:14">
      <c r="B54" s="147" t="s">
        <v>335</v>
      </c>
      <c r="C54" s="438">
        <f t="shared" ref="C54:C61" si="22">+C53-3</f>
        <v>21</v>
      </c>
      <c r="D54" s="237" t="e">
        <v>#REF!</v>
      </c>
      <c r="E54" s="197" t="e">
        <v>#REF!</v>
      </c>
      <c r="F54" s="197" t="e">
        <v>#REF!</v>
      </c>
      <c r="G54" s="237" t="e">
        <v>#REF!</v>
      </c>
      <c r="H54" s="197" t="e">
        <v>#REF!</v>
      </c>
      <c r="I54" s="197" t="e">
        <v>#REF!</v>
      </c>
      <c r="J54" s="197" t="e">
        <v>#REF!</v>
      </c>
      <c r="K54" s="197" t="e">
        <v>#REF!</v>
      </c>
      <c r="L54" s="197" t="e">
        <v>#REF!</v>
      </c>
      <c r="M54" s="197" t="e">
        <v>#REF!</v>
      </c>
      <c r="N54" s="237" t="e">
        <v>#REF!</v>
      </c>
    </row>
    <row r="55" ht="15.75" spans="2:14">
      <c r="B55" s="150"/>
      <c r="C55" s="439">
        <f t="shared" si="22"/>
        <v>18</v>
      </c>
      <c r="D55" s="237" t="e">
        <v>#REF!</v>
      </c>
      <c r="E55" s="237" t="e">
        <v>#REF!</v>
      </c>
      <c r="F55" s="237" t="e">
        <v>#REF!</v>
      </c>
      <c r="G55" s="237" t="e">
        <v>#REF!</v>
      </c>
      <c r="H55" s="237" t="e">
        <v>#REF!</v>
      </c>
      <c r="I55" s="237" t="e">
        <v>#REF!</v>
      </c>
      <c r="J55" s="237" t="e">
        <v>#REF!</v>
      </c>
      <c r="K55" s="237" t="e">
        <v>#REF!</v>
      </c>
      <c r="L55" s="237" t="e">
        <v>#REF!</v>
      </c>
      <c r="M55" s="237" t="e">
        <v>#REF!</v>
      </c>
      <c r="N55" s="237" t="e">
        <v>#REF!</v>
      </c>
    </row>
    <row r="56" ht="15.75" spans="2:14">
      <c r="B56" s="150"/>
      <c r="C56" s="438">
        <f t="shared" si="22"/>
        <v>15</v>
      </c>
      <c r="D56" s="237" t="e">
        <v>#REF!</v>
      </c>
      <c r="E56" s="197" t="e">
        <v>#REF!</v>
      </c>
      <c r="F56" s="197" t="e">
        <v>#REF!</v>
      </c>
      <c r="G56" s="237" t="e">
        <v>#REF!</v>
      </c>
      <c r="H56" s="197" t="e">
        <v>#REF!</v>
      </c>
      <c r="I56" s="197" t="e">
        <v>#REF!</v>
      </c>
      <c r="J56" s="197" t="e">
        <v>#REF!</v>
      </c>
      <c r="K56" s="197" t="e">
        <v>#REF!</v>
      </c>
      <c r="L56" s="197" t="e">
        <v>#REF!</v>
      </c>
      <c r="M56" s="197" t="e">
        <v>#REF!</v>
      </c>
      <c r="N56" s="237" t="e">
        <v>#REF!</v>
      </c>
    </row>
    <row r="57" ht="15.75" spans="2:14">
      <c r="B57" s="150"/>
      <c r="C57" s="438">
        <f t="shared" si="22"/>
        <v>12</v>
      </c>
      <c r="D57" s="237" t="e">
        <v>#REF!</v>
      </c>
      <c r="E57" s="197" t="e">
        <v>#REF!</v>
      </c>
      <c r="F57" s="197" t="e">
        <v>#REF!</v>
      </c>
      <c r="G57" s="237" t="e">
        <v>#REF!</v>
      </c>
      <c r="H57" s="197" t="e">
        <v>#REF!</v>
      </c>
      <c r="I57" s="197" t="e">
        <v>#REF!</v>
      </c>
      <c r="J57" s="197" t="e">
        <v>#REF!</v>
      </c>
      <c r="K57" s="197" t="e">
        <v>#REF!</v>
      </c>
      <c r="L57" s="197" t="e">
        <v>#REF!</v>
      </c>
      <c r="M57" s="197" t="e">
        <v>#REF!</v>
      </c>
      <c r="N57" s="237" t="e">
        <v>#REF!</v>
      </c>
    </row>
    <row r="58" ht="15.75" spans="2:14">
      <c r="B58" s="150"/>
      <c r="C58" s="438">
        <f t="shared" si="22"/>
        <v>9</v>
      </c>
      <c r="D58" s="237" t="e">
        <v>#REF!</v>
      </c>
      <c r="E58" s="197" t="e">
        <v>#REF!</v>
      </c>
      <c r="F58" s="197" t="e">
        <v>#REF!</v>
      </c>
      <c r="G58" s="237" t="e">
        <v>#REF!</v>
      </c>
      <c r="H58" s="197" t="e">
        <v>#REF!</v>
      </c>
      <c r="I58" s="197" t="e">
        <v>#REF!</v>
      </c>
      <c r="J58" s="197" t="e">
        <v>#REF!</v>
      </c>
      <c r="K58" s="197" t="e">
        <v>#REF!</v>
      </c>
      <c r="L58" s="197" t="e">
        <v>#REF!</v>
      </c>
      <c r="M58" s="197" t="e">
        <v>#REF!</v>
      </c>
      <c r="N58" s="237" t="e">
        <v>#REF!</v>
      </c>
    </row>
    <row r="59" ht="15.75" spans="2:14">
      <c r="B59" s="150"/>
      <c r="C59" s="438">
        <f t="shared" si="22"/>
        <v>6</v>
      </c>
      <c r="D59" s="237" t="e">
        <v>#REF!</v>
      </c>
      <c r="E59" s="197" t="e">
        <v>#REF!</v>
      </c>
      <c r="F59" s="197" t="e">
        <v>#REF!</v>
      </c>
      <c r="G59" s="237" t="e">
        <v>#REF!</v>
      </c>
      <c r="H59" s="197" t="e">
        <v>#REF!</v>
      </c>
      <c r="I59" s="197" t="e">
        <v>#REF!</v>
      </c>
      <c r="J59" s="197" t="e">
        <v>#REF!</v>
      </c>
      <c r="K59" s="197" t="e">
        <v>#REF!</v>
      </c>
      <c r="L59" s="197" t="e">
        <v>#REF!</v>
      </c>
      <c r="M59" s="197" t="e">
        <v>#REF!</v>
      </c>
      <c r="N59" s="237" t="e">
        <v>#REF!</v>
      </c>
    </row>
    <row r="60" ht="15.75" spans="2:14">
      <c r="B60" s="150"/>
      <c r="C60" s="440">
        <f t="shared" si="22"/>
        <v>3</v>
      </c>
      <c r="D60" s="237" t="e">
        <v>#REF!</v>
      </c>
      <c r="E60" s="197" t="e">
        <v>#REF!</v>
      </c>
      <c r="F60" s="197" t="e">
        <v>#REF!</v>
      </c>
      <c r="G60" s="237" t="e">
        <v>#REF!</v>
      </c>
      <c r="H60" s="197" t="e">
        <v>#REF!</v>
      </c>
      <c r="I60" s="197" t="e">
        <v>#REF!</v>
      </c>
      <c r="J60" s="197" t="e">
        <v>#REF!</v>
      </c>
      <c r="K60" s="197" t="e">
        <v>#REF!</v>
      </c>
      <c r="L60" s="197" t="e">
        <v>#REF!</v>
      </c>
      <c r="M60" s="197" t="e">
        <v>#REF!</v>
      </c>
      <c r="N60" s="237" t="e">
        <v>#REF!</v>
      </c>
    </row>
    <row r="61" ht="15.75" spans="2:14">
      <c r="B61" s="239"/>
      <c r="C61" s="441">
        <f t="shared" si="22"/>
        <v>0</v>
      </c>
      <c r="D61" s="237" t="e">
        <v>#REF!</v>
      </c>
      <c r="E61" s="197" t="e">
        <v>#REF!</v>
      </c>
      <c r="F61" s="197" t="e">
        <v>#REF!</v>
      </c>
      <c r="G61" s="237" t="e">
        <v>#REF!</v>
      </c>
      <c r="H61" s="197" t="e">
        <v>#REF!</v>
      </c>
      <c r="I61" s="197" t="e">
        <v>#REF!</v>
      </c>
      <c r="J61" s="197" t="e">
        <v>#REF!</v>
      </c>
      <c r="K61" s="197" t="e">
        <v>#REF!</v>
      </c>
      <c r="L61" s="197" t="e">
        <v>#REF!</v>
      </c>
      <c r="M61" s="197" t="e">
        <v>#REF!</v>
      </c>
      <c r="N61" s="237" t="e">
        <v>#REF!</v>
      </c>
    </row>
    <row r="62" ht="15.75" spans="2:14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</row>
    <row r="63" spans="2:14">
      <c r="B63" s="139"/>
      <c r="C63" s="140"/>
      <c r="D63" s="141" t="s">
        <v>406</v>
      </c>
      <c r="E63" s="142"/>
      <c r="F63" s="142"/>
      <c r="G63" s="142"/>
      <c r="H63" s="142"/>
      <c r="I63" s="142"/>
      <c r="J63" s="142"/>
      <c r="K63" s="142"/>
      <c r="L63" s="142"/>
      <c r="M63" s="142"/>
      <c r="N63" s="161"/>
    </row>
    <row r="64" spans="2:14">
      <c r="B64" s="143"/>
      <c r="C64" s="433" t="e">
        <f>+$P$45</f>
        <v>#VALUE!</v>
      </c>
      <c r="D64" s="436">
        <f t="shared" ref="D64:N64" si="23">+D52</f>
        <v>12.2</v>
      </c>
      <c r="E64" s="435">
        <f t="shared" si="23"/>
        <v>13.5</v>
      </c>
      <c r="F64" s="435">
        <f t="shared" si="23"/>
        <v>14.8</v>
      </c>
      <c r="G64" s="436">
        <f t="shared" si="23"/>
        <v>16.1</v>
      </c>
      <c r="H64" s="435">
        <f t="shared" si="23"/>
        <v>17.4</v>
      </c>
      <c r="I64" s="435">
        <f t="shared" si="23"/>
        <v>18.7</v>
      </c>
      <c r="J64" s="435">
        <f t="shared" si="23"/>
        <v>20</v>
      </c>
      <c r="K64" s="435">
        <f t="shared" si="23"/>
        <v>21.3</v>
      </c>
      <c r="L64" s="435">
        <f t="shared" si="23"/>
        <v>22.6</v>
      </c>
      <c r="M64" s="435">
        <f t="shared" si="23"/>
        <v>23.9</v>
      </c>
      <c r="N64" s="456">
        <f t="shared" si="23"/>
        <v>25.2</v>
      </c>
    </row>
    <row r="65" ht="15.75" spans="2:14">
      <c r="B65" s="143"/>
      <c r="C65" s="467">
        <v>0.605</v>
      </c>
      <c r="D65" s="228" t="e">
        <v>#REF!</v>
      </c>
      <c r="E65" s="233" t="e">
        <v>#REF!</v>
      </c>
      <c r="F65" s="233" t="e">
        <v>#REF!</v>
      </c>
      <c r="G65" s="228" t="e">
        <v>#REF!</v>
      </c>
      <c r="H65" s="233" t="e">
        <v>#REF!</v>
      </c>
      <c r="I65" s="233" t="e">
        <v>#REF!</v>
      </c>
      <c r="J65" s="233" t="e">
        <v>#REF!</v>
      </c>
      <c r="K65" s="233" t="e">
        <v>#REF!</v>
      </c>
      <c r="L65" s="233" t="e">
        <v>#REF!</v>
      </c>
      <c r="M65" s="233" t="e">
        <v>#REF!</v>
      </c>
      <c r="N65" s="228" t="e">
        <v>#REF!</v>
      </c>
    </row>
    <row r="66" ht="15.75" spans="2:14">
      <c r="B66" s="147" t="s">
        <v>16</v>
      </c>
      <c r="C66" s="468">
        <f t="shared" ref="C66:C73" si="24">+C65-0.015</f>
        <v>0.59</v>
      </c>
      <c r="D66" s="237" t="e">
        <v>#REF!</v>
      </c>
      <c r="E66" s="197" t="e">
        <v>#REF!</v>
      </c>
      <c r="F66" s="197" t="e">
        <v>#REF!</v>
      </c>
      <c r="G66" s="237" t="e">
        <v>#REF!</v>
      </c>
      <c r="H66" s="197" t="e">
        <v>#REF!</v>
      </c>
      <c r="I66" s="197" t="e">
        <v>#REF!</v>
      </c>
      <c r="J66" s="197" t="e">
        <v>#REF!</v>
      </c>
      <c r="K66" s="197" t="e">
        <v>#REF!</v>
      </c>
      <c r="L66" s="197" t="e">
        <v>#REF!</v>
      </c>
      <c r="M66" s="197" t="e">
        <v>#REF!</v>
      </c>
      <c r="N66" s="237" t="e">
        <v>#REF!</v>
      </c>
    </row>
    <row r="67" ht="15.75" spans="2:14">
      <c r="B67" s="150"/>
      <c r="C67" s="468">
        <f t="shared" si="24"/>
        <v>0.575</v>
      </c>
      <c r="D67" s="237" t="e">
        <v>#REF!</v>
      </c>
      <c r="E67" s="197" t="e">
        <v>#REF!</v>
      </c>
      <c r="F67" s="197" t="e">
        <v>#REF!</v>
      </c>
      <c r="G67" s="237" t="e">
        <v>#REF!</v>
      </c>
      <c r="H67" s="197" t="e">
        <v>#REF!</v>
      </c>
      <c r="I67" s="197" t="e">
        <v>#REF!</v>
      </c>
      <c r="J67" s="197" t="e">
        <v>#REF!</v>
      </c>
      <c r="K67" s="197" t="e">
        <v>#REF!</v>
      </c>
      <c r="L67" s="197" t="e">
        <v>#REF!</v>
      </c>
      <c r="M67" s="197" t="e">
        <v>#REF!</v>
      </c>
      <c r="N67" s="237" t="e">
        <v>#REF!</v>
      </c>
    </row>
    <row r="68" ht="15.75" spans="2:14">
      <c r="B68" s="150"/>
      <c r="C68" s="468">
        <f t="shared" si="24"/>
        <v>0.56</v>
      </c>
      <c r="D68" s="237" t="e">
        <v>#REF!</v>
      </c>
      <c r="E68" s="197" t="e">
        <v>#REF!</v>
      </c>
      <c r="F68" s="197" t="e">
        <v>#REF!</v>
      </c>
      <c r="G68" s="237" t="e">
        <v>#REF!</v>
      </c>
      <c r="H68" s="197" t="e">
        <v>#REF!</v>
      </c>
      <c r="I68" s="197" t="e">
        <v>#REF!</v>
      </c>
      <c r="J68" s="197" t="e">
        <v>#REF!</v>
      </c>
      <c r="K68" s="197" t="e">
        <v>#REF!</v>
      </c>
      <c r="L68" s="197" t="e">
        <v>#REF!</v>
      </c>
      <c r="M68" s="197" t="e">
        <v>#REF!</v>
      </c>
      <c r="N68" s="237" t="e">
        <v>#REF!</v>
      </c>
    </row>
    <row r="69" ht="15.75" spans="2:14">
      <c r="B69" s="150"/>
      <c r="C69" s="469">
        <f t="shared" si="24"/>
        <v>0.545</v>
      </c>
      <c r="D69" s="237" t="e">
        <v>#REF!</v>
      </c>
      <c r="E69" s="237" t="e">
        <v>#REF!</v>
      </c>
      <c r="F69" s="237" t="e">
        <v>#REF!</v>
      </c>
      <c r="G69" s="237" t="e">
        <v>#REF!</v>
      </c>
      <c r="H69" s="237" t="e">
        <v>#REF!</v>
      </c>
      <c r="I69" s="237" t="e">
        <v>#REF!</v>
      </c>
      <c r="J69" s="237" t="e">
        <v>#REF!</v>
      </c>
      <c r="K69" s="237" t="e">
        <v>#REF!</v>
      </c>
      <c r="L69" s="237" t="e">
        <v>#REF!</v>
      </c>
      <c r="M69" s="237" t="e">
        <v>#REF!</v>
      </c>
      <c r="N69" s="237" t="e">
        <v>#REF!</v>
      </c>
    </row>
    <row r="70" ht="15.75" spans="2:14">
      <c r="B70" s="150"/>
      <c r="C70" s="468">
        <f t="shared" si="24"/>
        <v>0.53</v>
      </c>
      <c r="D70" s="237" t="e">
        <v>#REF!</v>
      </c>
      <c r="E70" s="197" t="e">
        <v>#REF!</v>
      </c>
      <c r="F70" s="197" t="e">
        <v>#REF!</v>
      </c>
      <c r="G70" s="237" t="e">
        <v>#REF!</v>
      </c>
      <c r="H70" s="197" t="e">
        <v>#REF!</v>
      </c>
      <c r="I70" s="197" t="e">
        <v>#REF!</v>
      </c>
      <c r="J70" s="197" t="e">
        <v>#REF!</v>
      </c>
      <c r="K70" s="197" t="e">
        <v>#REF!</v>
      </c>
      <c r="L70" s="197" t="e">
        <v>#REF!</v>
      </c>
      <c r="M70" s="197" t="e">
        <v>#REF!</v>
      </c>
      <c r="N70" s="237" t="e">
        <v>#REF!</v>
      </c>
    </row>
    <row r="71" ht="15.75" spans="2:14">
      <c r="B71" s="150"/>
      <c r="C71" s="468">
        <f t="shared" si="24"/>
        <v>0.515</v>
      </c>
      <c r="D71" s="237" t="e">
        <v>#REF!</v>
      </c>
      <c r="E71" s="197" t="e">
        <v>#REF!</v>
      </c>
      <c r="F71" s="197" t="e">
        <v>#REF!</v>
      </c>
      <c r="G71" s="237" t="e">
        <v>#REF!</v>
      </c>
      <c r="H71" s="197" t="e">
        <v>#REF!</v>
      </c>
      <c r="I71" s="197" t="e">
        <v>#REF!</v>
      </c>
      <c r="J71" s="197" t="e">
        <v>#REF!</v>
      </c>
      <c r="K71" s="197" t="e">
        <v>#REF!</v>
      </c>
      <c r="L71" s="197" t="e">
        <v>#REF!</v>
      </c>
      <c r="M71" s="197" t="e">
        <v>#REF!</v>
      </c>
      <c r="N71" s="237" t="e">
        <v>#REF!</v>
      </c>
    </row>
    <row r="72" ht="15.75" spans="2:14">
      <c r="B72" s="150"/>
      <c r="C72" s="468">
        <f t="shared" si="24"/>
        <v>0.5</v>
      </c>
      <c r="D72" s="237" t="e">
        <v>#REF!</v>
      </c>
      <c r="E72" s="197" t="e">
        <v>#REF!</v>
      </c>
      <c r="F72" s="197" t="e">
        <v>#REF!</v>
      </c>
      <c r="G72" s="237" t="e">
        <v>#REF!</v>
      </c>
      <c r="H72" s="197" t="e">
        <v>#REF!</v>
      </c>
      <c r="I72" s="197" t="e">
        <v>#REF!</v>
      </c>
      <c r="J72" s="197" t="e">
        <v>#REF!</v>
      </c>
      <c r="K72" s="197" t="e">
        <v>#REF!</v>
      </c>
      <c r="L72" s="197" t="e">
        <v>#REF!</v>
      </c>
      <c r="M72" s="197" t="e">
        <v>#REF!</v>
      </c>
      <c r="N72" s="237" t="e">
        <v>#REF!</v>
      </c>
    </row>
    <row r="73" ht="15.75" spans="2:14">
      <c r="B73" s="239"/>
      <c r="C73" s="470">
        <f t="shared" si="24"/>
        <v>0.485</v>
      </c>
      <c r="D73" s="237" t="e">
        <v>#REF!</v>
      </c>
      <c r="E73" s="197" t="e">
        <v>#REF!</v>
      </c>
      <c r="F73" s="197" t="e">
        <v>#REF!</v>
      </c>
      <c r="G73" s="237" t="e">
        <v>#REF!</v>
      </c>
      <c r="H73" s="197" t="e">
        <v>#REF!</v>
      </c>
      <c r="I73" s="197" t="e">
        <v>#REF!</v>
      </c>
      <c r="J73" s="197" t="e">
        <v>#REF!</v>
      </c>
      <c r="K73" s="197" t="e">
        <v>#REF!</v>
      </c>
      <c r="L73" s="197" t="e">
        <v>#REF!</v>
      </c>
      <c r="M73" s="197" t="e">
        <v>#REF!</v>
      </c>
      <c r="N73" s="237" t="e">
        <v>#REF!</v>
      </c>
    </row>
    <row r="74" ht="15.75" spans="2:14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2:14">
      <c r="B75" s="139"/>
      <c r="C75" s="140"/>
      <c r="D75" s="141" t="s">
        <v>407</v>
      </c>
      <c r="E75" s="142"/>
      <c r="F75" s="142"/>
      <c r="G75" s="142"/>
      <c r="H75" s="142"/>
      <c r="I75" s="142"/>
      <c r="J75" s="142"/>
      <c r="K75" s="142"/>
      <c r="L75" s="142"/>
      <c r="M75" s="142"/>
      <c r="N75" s="161"/>
    </row>
    <row r="76" spans="2:14">
      <c r="B76" s="143"/>
      <c r="C76" s="433" t="e">
        <f>+$S$45</f>
        <v>#VALUE!</v>
      </c>
      <c r="D76" s="434">
        <v>12.6</v>
      </c>
      <c r="E76" s="435">
        <f t="shared" ref="E76:N76" si="25">+D76+1.85</f>
        <v>14.45</v>
      </c>
      <c r="F76" s="435">
        <f t="shared" si="25"/>
        <v>16.3</v>
      </c>
      <c r="G76" s="436">
        <f t="shared" si="25"/>
        <v>18.15</v>
      </c>
      <c r="H76" s="435">
        <f t="shared" si="25"/>
        <v>20</v>
      </c>
      <c r="I76" s="435">
        <f t="shared" si="25"/>
        <v>21.85</v>
      </c>
      <c r="J76" s="435">
        <f t="shared" si="25"/>
        <v>23.7</v>
      </c>
      <c r="K76" s="436">
        <f t="shared" si="25"/>
        <v>25.55</v>
      </c>
      <c r="L76" s="436">
        <f t="shared" si="25"/>
        <v>27.4</v>
      </c>
      <c r="M76" s="435">
        <f t="shared" si="25"/>
        <v>29.25</v>
      </c>
      <c r="N76" s="472">
        <f t="shared" si="25"/>
        <v>31.1</v>
      </c>
    </row>
    <row r="77" ht="15.75" spans="2:14">
      <c r="B77" s="143"/>
      <c r="C77" s="471">
        <f t="shared" ref="C77:C85" si="26">+C53</f>
        <v>24</v>
      </c>
      <c r="D77" s="228" t="e">
        <v>#REF!</v>
      </c>
      <c r="E77" s="233" t="e">
        <v>#REF!</v>
      </c>
      <c r="F77" s="233" t="e">
        <v>#REF!</v>
      </c>
      <c r="G77" s="228" t="e">
        <v>#REF!</v>
      </c>
      <c r="H77" s="233" t="e">
        <v>#REF!</v>
      </c>
      <c r="I77" s="233" t="e">
        <v>#REF!</v>
      </c>
      <c r="J77" s="233" t="e">
        <v>#REF!</v>
      </c>
      <c r="K77" s="228" t="e">
        <v>#REF!</v>
      </c>
      <c r="L77" s="228" t="e">
        <v>#REF!</v>
      </c>
      <c r="M77" s="233" t="e">
        <v>#REF!</v>
      </c>
      <c r="N77" s="233" t="e">
        <v>#REF!</v>
      </c>
    </row>
    <row r="78" ht="15.75" spans="2:14">
      <c r="B78" s="147" t="s">
        <v>335</v>
      </c>
      <c r="C78" s="438">
        <f t="shared" si="26"/>
        <v>21</v>
      </c>
      <c r="D78" s="237" t="e">
        <v>#REF!</v>
      </c>
      <c r="E78" s="197" t="e">
        <v>#REF!</v>
      </c>
      <c r="F78" s="197" t="e">
        <v>#REF!</v>
      </c>
      <c r="G78" s="237" t="e">
        <v>#REF!</v>
      </c>
      <c r="H78" s="197" t="e">
        <v>#REF!</v>
      </c>
      <c r="I78" s="197" t="e">
        <v>#REF!</v>
      </c>
      <c r="J78" s="197" t="e">
        <v>#REF!</v>
      </c>
      <c r="K78" s="237" t="e">
        <v>#REF!</v>
      </c>
      <c r="L78" s="237" t="e">
        <v>#REF!</v>
      </c>
      <c r="M78" s="197" t="e">
        <v>#REF!</v>
      </c>
      <c r="N78" s="197" t="e">
        <v>#REF!</v>
      </c>
    </row>
    <row r="79" ht="15.75" spans="2:14">
      <c r="B79" s="150"/>
      <c r="C79" s="439">
        <f t="shared" si="26"/>
        <v>18</v>
      </c>
      <c r="D79" s="237" t="e">
        <v>#REF!</v>
      </c>
      <c r="E79" s="237" t="e">
        <v>#REF!</v>
      </c>
      <c r="F79" s="237" t="e">
        <v>#REF!</v>
      </c>
      <c r="G79" s="237" t="e">
        <v>#REF!</v>
      </c>
      <c r="H79" s="237" t="e">
        <v>#REF!</v>
      </c>
      <c r="I79" s="237" t="e">
        <v>#REF!</v>
      </c>
      <c r="J79" s="237" t="e">
        <v>#REF!</v>
      </c>
      <c r="K79" s="237" t="e">
        <v>#REF!</v>
      </c>
      <c r="L79" s="237" t="e">
        <v>#REF!</v>
      </c>
      <c r="M79" s="237" t="e">
        <v>#REF!</v>
      </c>
      <c r="N79" s="237" t="e">
        <v>#REF!</v>
      </c>
    </row>
    <row r="80" ht="15.75" spans="2:14">
      <c r="B80" s="150"/>
      <c r="C80" s="438">
        <f t="shared" si="26"/>
        <v>15</v>
      </c>
      <c r="D80" s="237" t="e">
        <v>#REF!</v>
      </c>
      <c r="E80" s="197" t="e">
        <v>#REF!</v>
      </c>
      <c r="F80" s="197" t="e">
        <v>#REF!</v>
      </c>
      <c r="G80" s="237" t="e">
        <v>#REF!</v>
      </c>
      <c r="H80" s="197" t="e">
        <v>#REF!</v>
      </c>
      <c r="I80" s="197" t="e">
        <v>#REF!</v>
      </c>
      <c r="J80" s="197" t="e">
        <v>#REF!</v>
      </c>
      <c r="K80" s="237" t="e">
        <v>#REF!</v>
      </c>
      <c r="L80" s="237" t="e">
        <v>#REF!</v>
      </c>
      <c r="M80" s="197" t="e">
        <v>#REF!</v>
      </c>
      <c r="N80" s="197" t="e">
        <v>#REF!</v>
      </c>
    </row>
    <row r="81" ht="15.75" spans="2:14">
      <c r="B81" s="150"/>
      <c r="C81" s="438">
        <f t="shared" si="26"/>
        <v>12</v>
      </c>
      <c r="D81" s="237" t="e">
        <v>#REF!</v>
      </c>
      <c r="E81" s="197" t="e">
        <v>#REF!</v>
      </c>
      <c r="F81" s="197" t="e">
        <v>#REF!</v>
      </c>
      <c r="G81" s="237" t="e">
        <v>#REF!</v>
      </c>
      <c r="H81" s="197" t="e">
        <v>#REF!</v>
      </c>
      <c r="I81" s="197" t="e">
        <v>#REF!</v>
      </c>
      <c r="J81" s="197" t="e">
        <v>#REF!</v>
      </c>
      <c r="K81" s="237" t="e">
        <v>#REF!</v>
      </c>
      <c r="L81" s="237" t="e">
        <v>#REF!</v>
      </c>
      <c r="M81" s="197" t="e">
        <v>#REF!</v>
      </c>
      <c r="N81" s="197" t="e">
        <v>#REF!</v>
      </c>
    </row>
    <row r="82" ht="15.75" spans="2:14">
      <c r="B82" s="150"/>
      <c r="C82" s="438">
        <f t="shared" si="26"/>
        <v>9</v>
      </c>
      <c r="D82" s="237" t="e">
        <v>#REF!</v>
      </c>
      <c r="E82" s="197" t="e">
        <v>#REF!</v>
      </c>
      <c r="F82" s="197" t="e">
        <v>#REF!</v>
      </c>
      <c r="G82" s="237" t="e">
        <v>#REF!</v>
      </c>
      <c r="H82" s="197" t="e">
        <v>#REF!</v>
      </c>
      <c r="I82" s="197" t="e">
        <v>#REF!</v>
      </c>
      <c r="J82" s="197" t="e">
        <v>#REF!</v>
      </c>
      <c r="K82" s="237" t="e">
        <v>#REF!</v>
      </c>
      <c r="L82" s="237" t="e">
        <v>#REF!</v>
      </c>
      <c r="M82" s="197" t="e">
        <v>#REF!</v>
      </c>
      <c r="N82" s="197" t="e">
        <v>#REF!</v>
      </c>
    </row>
    <row r="83" ht="15.75" spans="2:14">
      <c r="B83" s="150"/>
      <c r="C83" s="438">
        <f t="shared" si="26"/>
        <v>6</v>
      </c>
      <c r="D83" s="237" t="e">
        <v>#REF!</v>
      </c>
      <c r="E83" s="197" t="e">
        <v>#REF!</v>
      </c>
      <c r="F83" s="197" t="e">
        <v>#REF!</v>
      </c>
      <c r="G83" s="237" t="e">
        <v>#REF!</v>
      </c>
      <c r="H83" s="197" t="e">
        <v>#REF!</v>
      </c>
      <c r="I83" s="197" t="e">
        <v>#REF!</v>
      </c>
      <c r="J83" s="197" t="e">
        <v>#REF!</v>
      </c>
      <c r="K83" s="237" t="e">
        <v>#REF!</v>
      </c>
      <c r="L83" s="237" t="e">
        <v>#REF!</v>
      </c>
      <c r="M83" s="197" t="e">
        <v>#REF!</v>
      </c>
      <c r="N83" s="197" t="e">
        <v>#REF!</v>
      </c>
    </row>
    <row r="84" ht="15.75" spans="2:14">
      <c r="B84" s="150"/>
      <c r="C84" s="440">
        <f t="shared" si="26"/>
        <v>3</v>
      </c>
      <c r="D84" s="237" t="e">
        <v>#REF!</v>
      </c>
      <c r="E84" s="197" t="e">
        <v>#REF!</v>
      </c>
      <c r="F84" s="197" t="e">
        <v>#REF!</v>
      </c>
      <c r="G84" s="237" t="e">
        <v>#REF!</v>
      </c>
      <c r="H84" s="197" t="e">
        <v>#REF!</v>
      </c>
      <c r="I84" s="197" t="e">
        <v>#REF!</v>
      </c>
      <c r="J84" s="197" t="e">
        <v>#REF!</v>
      </c>
      <c r="K84" s="237" t="e">
        <v>#REF!</v>
      </c>
      <c r="L84" s="237" t="e">
        <v>#REF!</v>
      </c>
      <c r="M84" s="197" t="e">
        <v>#REF!</v>
      </c>
      <c r="N84" s="197" t="e">
        <v>#REF!</v>
      </c>
    </row>
    <row r="85" ht="15.75" spans="2:14">
      <c r="B85" s="239"/>
      <c r="C85" s="441">
        <f t="shared" si="26"/>
        <v>0</v>
      </c>
      <c r="D85" s="237" t="e">
        <v>#REF!</v>
      </c>
      <c r="E85" s="197" t="e">
        <v>#REF!</v>
      </c>
      <c r="F85" s="197" t="e">
        <v>#REF!</v>
      </c>
      <c r="G85" s="237" t="e">
        <v>#REF!</v>
      </c>
      <c r="H85" s="197" t="e">
        <v>#REF!</v>
      </c>
      <c r="I85" s="197" t="e">
        <v>#REF!</v>
      </c>
      <c r="J85" s="197" t="e">
        <v>#REF!</v>
      </c>
      <c r="K85" s="237" t="e">
        <v>#REF!</v>
      </c>
      <c r="L85" s="237" t="e">
        <v>#REF!</v>
      </c>
      <c r="M85" s="197" t="e">
        <v>#REF!</v>
      </c>
      <c r="N85" s="197" t="e">
        <v>#REF!</v>
      </c>
    </row>
    <row r="87" spans="2:14">
      <c r="B87" s="139"/>
      <c r="C87" s="140"/>
      <c r="D87" s="141" t="s">
        <v>407</v>
      </c>
      <c r="E87" s="142"/>
      <c r="F87" s="142"/>
      <c r="G87" s="142"/>
      <c r="H87" s="142"/>
      <c r="I87" s="142"/>
      <c r="J87" s="142"/>
      <c r="K87" s="142"/>
      <c r="L87" s="142"/>
      <c r="M87" s="142"/>
      <c r="N87" s="161"/>
    </row>
    <row r="88" spans="2:14">
      <c r="B88" s="143"/>
      <c r="C88" s="433" t="e">
        <f>+$S$45</f>
        <v>#VALUE!</v>
      </c>
      <c r="D88" s="436">
        <f t="shared" ref="D88:N88" si="27">+D76</f>
        <v>12.6</v>
      </c>
      <c r="E88" s="435">
        <f t="shared" si="27"/>
        <v>14.45</v>
      </c>
      <c r="F88" s="435">
        <f t="shared" si="27"/>
        <v>16.3</v>
      </c>
      <c r="G88" s="436">
        <f t="shared" si="27"/>
        <v>18.15</v>
      </c>
      <c r="H88" s="435">
        <f t="shared" si="27"/>
        <v>20</v>
      </c>
      <c r="I88" s="435">
        <f t="shared" si="27"/>
        <v>21.85</v>
      </c>
      <c r="J88" s="435">
        <f t="shared" si="27"/>
        <v>23.7</v>
      </c>
      <c r="K88" s="436">
        <f t="shared" si="27"/>
        <v>25.55</v>
      </c>
      <c r="L88" s="436">
        <f t="shared" si="27"/>
        <v>27.4</v>
      </c>
      <c r="M88" s="435">
        <f t="shared" si="27"/>
        <v>29.25</v>
      </c>
      <c r="N88" s="472">
        <f t="shared" si="27"/>
        <v>31.1</v>
      </c>
    </row>
    <row r="89" ht="15.75" spans="2:14">
      <c r="B89" s="143"/>
      <c r="C89" s="468">
        <f t="shared" ref="C89:C97" si="28">+C65</f>
        <v>0.605</v>
      </c>
      <c r="D89" s="228" t="e">
        <v>#REF!</v>
      </c>
      <c r="E89" s="233" t="e">
        <v>#REF!</v>
      </c>
      <c r="F89" s="233" t="e">
        <v>#REF!</v>
      </c>
      <c r="G89" s="228" t="e">
        <v>#REF!</v>
      </c>
      <c r="H89" s="233" t="e">
        <v>#REF!</v>
      </c>
      <c r="I89" s="233" t="e">
        <v>#REF!</v>
      </c>
      <c r="J89" s="233" t="e">
        <v>#REF!</v>
      </c>
      <c r="K89" s="228" t="e">
        <v>#REF!</v>
      </c>
      <c r="L89" s="228" t="e">
        <v>#REF!</v>
      </c>
      <c r="M89" s="233" t="e">
        <v>#REF!</v>
      </c>
      <c r="N89" s="233" t="e">
        <v>#REF!</v>
      </c>
    </row>
    <row r="90" ht="15.75" spans="2:14">
      <c r="B90" s="147" t="s">
        <v>16</v>
      </c>
      <c r="C90" s="468">
        <f t="shared" si="28"/>
        <v>0.59</v>
      </c>
      <c r="D90" s="237" t="e">
        <v>#REF!</v>
      </c>
      <c r="E90" s="197" t="e">
        <v>#REF!</v>
      </c>
      <c r="F90" s="197" t="e">
        <v>#REF!</v>
      </c>
      <c r="G90" s="237" t="e">
        <v>#REF!</v>
      </c>
      <c r="H90" s="197" t="e">
        <v>#REF!</v>
      </c>
      <c r="I90" s="197" t="e">
        <v>#REF!</v>
      </c>
      <c r="J90" s="197" t="e">
        <v>#REF!</v>
      </c>
      <c r="K90" s="237" t="e">
        <v>#REF!</v>
      </c>
      <c r="L90" s="237" t="e">
        <v>#REF!</v>
      </c>
      <c r="M90" s="197" t="e">
        <v>#REF!</v>
      </c>
      <c r="N90" s="197" t="e">
        <v>#REF!</v>
      </c>
    </row>
    <row r="91" ht="15.75" spans="2:14">
      <c r="B91" s="150"/>
      <c r="C91" s="468">
        <f t="shared" si="28"/>
        <v>0.575</v>
      </c>
      <c r="D91" s="237" t="e">
        <v>#REF!</v>
      </c>
      <c r="E91" s="197" t="e">
        <v>#REF!</v>
      </c>
      <c r="F91" s="197" t="e">
        <v>#REF!</v>
      </c>
      <c r="G91" s="237" t="e">
        <v>#REF!</v>
      </c>
      <c r="H91" s="197" t="e">
        <v>#REF!</v>
      </c>
      <c r="I91" s="197" t="e">
        <v>#REF!</v>
      </c>
      <c r="J91" s="197" t="e">
        <v>#REF!</v>
      </c>
      <c r="K91" s="237" t="e">
        <v>#REF!</v>
      </c>
      <c r="L91" s="237" t="e">
        <v>#REF!</v>
      </c>
      <c r="M91" s="197" t="e">
        <v>#REF!</v>
      </c>
      <c r="N91" s="197" t="e">
        <v>#REF!</v>
      </c>
    </row>
    <row r="92" ht="15.75" spans="2:14">
      <c r="B92" s="150"/>
      <c r="C92" s="468">
        <f t="shared" si="28"/>
        <v>0.56</v>
      </c>
      <c r="D92" s="237" t="e">
        <v>#REF!</v>
      </c>
      <c r="E92" s="197" t="e">
        <v>#REF!</v>
      </c>
      <c r="F92" s="197" t="e">
        <v>#REF!</v>
      </c>
      <c r="G92" s="237" t="e">
        <v>#REF!</v>
      </c>
      <c r="H92" s="197" t="e">
        <v>#REF!</v>
      </c>
      <c r="I92" s="197" t="e">
        <v>#REF!</v>
      </c>
      <c r="J92" s="197" t="e">
        <v>#REF!</v>
      </c>
      <c r="K92" s="237" t="e">
        <v>#REF!</v>
      </c>
      <c r="L92" s="237" t="e">
        <v>#REF!</v>
      </c>
      <c r="M92" s="197" t="e">
        <v>#REF!</v>
      </c>
      <c r="N92" s="197" t="e">
        <v>#REF!</v>
      </c>
    </row>
    <row r="93" ht="15.75" spans="2:14">
      <c r="B93" s="150"/>
      <c r="C93" s="469">
        <f t="shared" si="28"/>
        <v>0.545</v>
      </c>
      <c r="D93" s="237" t="e">
        <v>#REF!</v>
      </c>
      <c r="E93" s="237" t="e">
        <v>#REF!</v>
      </c>
      <c r="F93" s="237" t="e">
        <v>#REF!</v>
      </c>
      <c r="G93" s="237" t="e">
        <v>#REF!</v>
      </c>
      <c r="H93" s="237" t="e">
        <v>#REF!</v>
      </c>
      <c r="I93" s="237" t="e">
        <v>#REF!</v>
      </c>
      <c r="J93" s="237" t="e">
        <v>#REF!</v>
      </c>
      <c r="K93" s="237" t="e">
        <v>#REF!</v>
      </c>
      <c r="L93" s="237" t="e">
        <v>#REF!</v>
      </c>
      <c r="M93" s="237" t="e">
        <v>#REF!</v>
      </c>
      <c r="N93" s="237" t="e">
        <v>#REF!</v>
      </c>
    </row>
    <row r="94" ht="15.75" spans="2:14">
      <c r="B94" s="150"/>
      <c r="C94" s="468">
        <f t="shared" si="28"/>
        <v>0.53</v>
      </c>
      <c r="D94" s="237" t="e">
        <v>#REF!</v>
      </c>
      <c r="E94" s="197" t="e">
        <v>#REF!</v>
      </c>
      <c r="F94" s="197" t="e">
        <v>#REF!</v>
      </c>
      <c r="G94" s="237" t="e">
        <v>#REF!</v>
      </c>
      <c r="H94" s="197" t="e">
        <v>#REF!</v>
      </c>
      <c r="I94" s="197" t="e">
        <v>#REF!</v>
      </c>
      <c r="J94" s="197" t="e">
        <v>#REF!</v>
      </c>
      <c r="K94" s="237" t="e">
        <v>#REF!</v>
      </c>
      <c r="L94" s="237" t="e">
        <v>#REF!</v>
      </c>
      <c r="M94" s="197" t="e">
        <v>#REF!</v>
      </c>
      <c r="N94" s="197" t="e">
        <v>#REF!</v>
      </c>
    </row>
    <row r="95" ht="15.75" spans="2:14">
      <c r="B95" s="150"/>
      <c r="C95" s="468">
        <f t="shared" si="28"/>
        <v>0.515</v>
      </c>
      <c r="D95" s="237" t="e">
        <v>#REF!</v>
      </c>
      <c r="E95" s="197" t="e">
        <v>#REF!</v>
      </c>
      <c r="F95" s="197" t="e">
        <v>#REF!</v>
      </c>
      <c r="G95" s="237" t="e">
        <v>#REF!</v>
      </c>
      <c r="H95" s="197" t="e">
        <v>#REF!</v>
      </c>
      <c r="I95" s="197" t="e">
        <v>#REF!</v>
      </c>
      <c r="J95" s="197" t="e">
        <v>#REF!</v>
      </c>
      <c r="K95" s="237" t="e">
        <v>#REF!</v>
      </c>
      <c r="L95" s="237" t="e">
        <v>#REF!</v>
      </c>
      <c r="M95" s="197" t="e">
        <v>#REF!</v>
      </c>
      <c r="N95" s="197" t="e">
        <v>#REF!</v>
      </c>
    </row>
    <row r="96" ht="15.75" spans="2:14">
      <c r="B96" s="150"/>
      <c r="C96" s="468">
        <f t="shared" si="28"/>
        <v>0.5</v>
      </c>
      <c r="D96" s="237" t="e">
        <v>#REF!</v>
      </c>
      <c r="E96" s="197" t="e">
        <v>#REF!</v>
      </c>
      <c r="F96" s="197" t="e">
        <v>#REF!</v>
      </c>
      <c r="G96" s="237" t="e">
        <v>#REF!</v>
      </c>
      <c r="H96" s="197" t="e">
        <v>#REF!</v>
      </c>
      <c r="I96" s="197" t="e">
        <v>#REF!</v>
      </c>
      <c r="J96" s="197" t="e">
        <v>#REF!</v>
      </c>
      <c r="K96" s="237" t="e">
        <v>#REF!</v>
      </c>
      <c r="L96" s="237" t="e">
        <v>#REF!</v>
      </c>
      <c r="M96" s="197" t="e">
        <v>#REF!</v>
      </c>
      <c r="N96" s="197" t="e">
        <v>#REF!</v>
      </c>
    </row>
    <row r="97" ht="15.75" spans="2:14">
      <c r="B97" s="239"/>
      <c r="C97" s="470">
        <f t="shared" si="28"/>
        <v>0.485</v>
      </c>
      <c r="D97" s="237" t="e">
        <v>#REF!</v>
      </c>
      <c r="E97" s="197" t="e">
        <v>#REF!</v>
      </c>
      <c r="F97" s="197" t="e">
        <v>#REF!</v>
      </c>
      <c r="G97" s="237" t="e">
        <v>#REF!</v>
      </c>
      <c r="H97" s="197" t="e">
        <v>#REF!</v>
      </c>
      <c r="I97" s="197" t="e">
        <v>#REF!</v>
      </c>
      <c r="J97" s="197" t="e">
        <v>#REF!</v>
      </c>
      <c r="K97" s="237" t="e">
        <v>#REF!</v>
      </c>
      <c r="L97" s="237" t="e">
        <v>#REF!</v>
      </c>
      <c r="M97" s="197" t="e">
        <v>#REF!</v>
      </c>
      <c r="N97" s="197" t="e">
        <v>#REF!</v>
      </c>
    </row>
  </sheetData>
  <mergeCells count="4">
    <mergeCell ref="B54:B61"/>
    <mergeCell ref="B66:B73"/>
    <mergeCell ref="B78:B85"/>
    <mergeCell ref="B90:B97"/>
  </mergeCells>
  <pageMargins left="0.699305555555556" right="0.699305555555556" top="0.75" bottom="0.75" header="0.3" footer="0.3"/>
  <pageSetup paperSize="1" scale="28" orientation="portrait" horizontalDpi="1200" verticalDpi="1200"/>
  <headerFooter/>
  <rowBreaks count="1" manualBreakCount="1">
    <brk id="48" max="43" man="1"/>
  </rowBreaks>
  <colBreaks count="1" manualBreakCount="1">
    <brk id="26" max="9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autoPageBreaks="0"/>
  </sheetPr>
  <dimension ref="B2:AB84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6" customWidth="1"/>
    <col min="3" max="3" width="46.25" style="26" customWidth="1"/>
    <col min="4" max="15" width="11.125" style="26" customWidth="1"/>
    <col min="16" max="16" width="2.375" style="26" customWidth="1"/>
    <col min="17" max="27" width="11.125" style="26" customWidth="1"/>
    <col min="28" max="16384" width="8" style="26"/>
  </cols>
  <sheetData>
    <row r="2" ht="18.75" spans="2:2">
      <c r="B2" s="3" t="str">
        <f>"Relative Contribution Analysis - "&amp;Buyer_Name&amp;" and "&amp;Seller_Name</f>
        <v>Relative Contribution Analysis - Digital Realty Trust, Inc. and DuPont Fabros Technology, Inc.</v>
      </c>
    </row>
    <row r="3" ht="15.75" spans="2:2">
      <c r="B3" s="4" t="str">
        <f>+'DLR-Op-Model'!$B$3</f>
        <v>($ USD in Millions Except Per Share and Per Unit Amounts in USD as Stated)</v>
      </c>
    </row>
    <row r="5" spans="2:27">
      <c r="B5" s="362" t="s">
        <v>408</v>
      </c>
      <c r="C5" s="363"/>
      <c r="D5" s="363"/>
      <c r="E5" s="363"/>
      <c r="F5" s="362" t="s">
        <v>409</v>
      </c>
      <c r="G5" s="363"/>
      <c r="H5" s="363"/>
      <c r="I5" s="363"/>
      <c r="J5" s="363"/>
      <c r="K5" s="363"/>
      <c r="L5" s="363"/>
      <c r="M5" s="363"/>
      <c r="N5" s="363"/>
      <c r="O5" s="363"/>
      <c r="AA5" s="108"/>
    </row>
    <row r="6" ht="15.75" spans="27:27">
      <c r="AA6" s="11"/>
    </row>
    <row r="7" ht="15.75" spans="3:27">
      <c r="C7" s="286" t="s">
        <v>90</v>
      </c>
      <c r="D7" s="364">
        <f>'Merger-Model'!S16</f>
        <v>5831.186380233</v>
      </c>
      <c r="E7" s="11"/>
      <c r="F7" s="286" t="s">
        <v>410</v>
      </c>
      <c r="G7" s="287"/>
      <c r="H7" s="287"/>
      <c r="I7" s="287"/>
      <c r="J7" s="364">
        <f>Buyer_Eq_Value</f>
        <v>19157.59230972</v>
      </c>
      <c r="AA7" s="11"/>
    </row>
    <row r="8" ht="15.75" spans="3:27">
      <c r="C8" s="262" t="s">
        <v>94</v>
      </c>
      <c r="D8" s="206">
        <f>'Merger-Model'!S17</f>
        <v>-44.9239999999999</v>
      </c>
      <c r="E8" s="181"/>
      <c r="F8" s="262" t="s">
        <v>94</v>
      </c>
      <c r="G8" s="11"/>
      <c r="H8" s="181"/>
      <c r="I8" s="181"/>
      <c r="J8" s="206">
        <f>'DLR-Op-Model'!O19</f>
        <v>-25.3969999999995</v>
      </c>
      <c r="AA8" s="11"/>
    </row>
    <row r="9" ht="15.75" spans="3:27">
      <c r="C9" s="51" t="s">
        <v>98</v>
      </c>
      <c r="D9" s="206">
        <f>'Merger-Model'!S18</f>
        <v>0</v>
      </c>
      <c r="E9" s="11"/>
      <c r="F9" s="51" t="s">
        <v>98</v>
      </c>
      <c r="G9" s="11"/>
      <c r="H9" s="11"/>
      <c r="I9" s="11"/>
      <c r="J9" s="206">
        <f>'DLR-Op-Model'!O20</f>
        <v>-112.856</v>
      </c>
      <c r="AA9" s="11"/>
    </row>
    <row r="10" ht="15.75" spans="3:27">
      <c r="C10" s="262" t="s">
        <v>100</v>
      </c>
      <c r="D10" s="365">
        <f>'Merger-Model'!S19</f>
        <v>1407.819</v>
      </c>
      <c r="E10" s="245"/>
      <c r="F10" s="262" t="s">
        <v>100</v>
      </c>
      <c r="G10" s="245"/>
      <c r="H10" s="245"/>
      <c r="I10" s="245"/>
      <c r="J10" s="365">
        <f>'DLR-Op-Model'!O21</f>
        <v>6201.329</v>
      </c>
      <c r="AA10" s="11"/>
    </row>
    <row r="11" ht="15.75" spans="3:27">
      <c r="C11" s="262" t="s">
        <v>103</v>
      </c>
      <c r="D11" s="365">
        <f>'Merger-Model'!S20</f>
        <v>201.25</v>
      </c>
      <c r="E11" s="11"/>
      <c r="F11" s="262" t="s">
        <v>103</v>
      </c>
      <c r="G11" s="11"/>
      <c r="H11" s="11"/>
      <c r="I11" s="11"/>
      <c r="J11" s="365">
        <f>'DLR-Op-Model'!O22</f>
        <v>1012.961</v>
      </c>
      <c r="AA11" s="11"/>
    </row>
    <row r="12" ht="15.75" spans="3:27">
      <c r="C12" s="262" t="s">
        <v>105</v>
      </c>
      <c r="D12" s="365">
        <f>'Merger-Model'!S21</f>
        <v>0</v>
      </c>
      <c r="E12" s="245"/>
      <c r="F12" s="262" t="s">
        <v>105</v>
      </c>
      <c r="G12" s="245"/>
      <c r="H12" s="245"/>
      <c r="I12" s="245"/>
      <c r="J12" s="365">
        <f>'DLR-Op-Model'!O23</f>
        <v>6.573</v>
      </c>
      <c r="AA12" s="11"/>
    </row>
    <row r="13" ht="15.75" spans="3:27">
      <c r="C13" s="292" t="s">
        <v>109</v>
      </c>
      <c r="D13" s="366">
        <f>'Merger-Model'!S22</f>
        <v>7395.331380233</v>
      </c>
      <c r="E13" s="245"/>
      <c r="F13" s="292" t="s">
        <v>411</v>
      </c>
      <c r="G13" s="293"/>
      <c r="H13" s="293"/>
      <c r="I13" s="293"/>
      <c r="J13" s="366">
        <f>'DLR-Op-Model'!O24</f>
        <v>26240.20230972</v>
      </c>
      <c r="AA13" s="11"/>
    </row>
    <row r="14" ht="15.75" spans="27:27">
      <c r="AA14" s="11"/>
    </row>
    <row r="15" ht="15.75" spans="2:27">
      <c r="B15" s="367"/>
      <c r="C15" s="367"/>
      <c r="D15" s="367"/>
      <c r="E15" s="367"/>
      <c r="F15" s="368"/>
      <c r="G15" s="369"/>
      <c r="H15" s="367"/>
      <c r="I15" s="369" t="s">
        <v>412</v>
      </c>
      <c r="J15" s="367"/>
      <c r="K15" s="369" t="s">
        <v>413</v>
      </c>
      <c r="L15" s="368"/>
      <c r="M15" s="397"/>
      <c r="N15" s="397"/>
      <c r="O15" s="397"/>
      <c r="AA15" s="11"/>
    </row>
    <row r="16" ht="15.75" spans="2:27">
      <c r="B16" s="362" t="s">
        <v>414</v>
      </c>
      <c r="C16" s="363"/>
      <c r="D16" s="363" t="s">
        <v>415</v>
      </c>
      <c r="E16" s="363"/>
      <c r="F16" s="370"/>
      <c r="G16" s="371" t="s">
        <v>416</v>
      </c>
      <c r="H16" s="363"/>
      <c r="I16" s="371" t="s">
        <v>417</v>
      </c>
      <c r="J16" s="363"/>
      <c r="K16" s="371" t="s">
        <v>418</v>
      </c>
      <c r="L16" s="370"/>
      <c r="M16" s="363" t="s">
        <v>419</v>
      </c>
      <c r="N16" s="363"/>
      <c r="O16" s="363"/>
      <c r="AA16" s="11"/>
    </row>
    <row r="17" ht="15.75" spans="2:27">
      <c r="B17" s="372"/>
      <c r="C17" s="372"/>
      <c r="D17" s="373"/>
      <c r="E17" s="373"/>
      <c r="F17" s="373"/>
      <c r="G17" s="374"/>
      <c r="H17" s="375"/>
      <c r="I17" s="398" t="s">
        <v>346</v>
      </c>
      <c r="J17" s="398" t="s">
        <v>345</v>
      </c>
      <c r="K17" s="399" t="s">
        <v>346</v>
      </c>
      <c r="L17" s="400" t="s">
        <v>345</v>
      </c>
      <c r="M17" s="398" t="s">
        <v>420</v>
      </c>
      <c r="N17" s="398" t="s">
        <v>421</v>
      </c>
      <c r="O17" s="398" t="s">
        <v>422</v>
      </c>
      <c r="AA17" s="11"/>
    </row>
    <row r="18" ht="15.75" spans="2:28">
      <c r="B18" s="376" t="s">
        <v>423</v>
      </c>
      <c r="C18" s="376"/>
      <c r="D18" s="377" t="s">
        <v>113</v>
      </c>
      <c r="E18" s="377" t="s">
        <v>424</v>
      </c>
      <c r="F18" s="377" t="s">
        <v>425</v>
      </c>
      <c r="G18" s="378" t="str">
        <f>$D$18</f>
        <v>Buyer:</v>
      </c>
      <c r="H18" s="379" t="str">
        <f>$E$18</f>
        <v>Seller:</v>
      </c>
      <c r="I18" s="401" t="s">
        <v>426</v>
      </c>
      <c r="J18" s="401" t="s">
        <v>426</v>
      </c>
      <c r="K18" s="378" t="s">
        <v>426</v>
      </c>
      <c r="L18" s="379" t="s">
        <v>426</v>
      </c>
      <c r="M18" s="401" t="s">
        <v>427</v>
      </c>
      <c r="N18" s="401" t="s">
        <v>72</v>
      </c>
      <c r="O18" s="401" t="s">
        <v>428</v>
      </c>
      <c r="AA18" s="11"/>
      <c r="AB18" s="33"/>
    </row>
    <row r="19" ht="15.75" spans="3:15">
      <c r="C19" s="26" t="s">
        <v>429</v>
      </c>
      <c r="D19" s="380">
        <f>Buyer_Eq_Value</f>
        <v>19157.59230972</v>
      </c>
      <c r="E19" s="380">
        <f>Seller_Eq_Value</f>
        <v>5033.50597923</v>
      </c>
      <c r="F19" s="381">
        <f t="shared" ref="F19:F24" si="0">+D19+E19</f>
        <v>24191.09828895</v>
      </c>
      <c r="G19" s="382">
        <f t="shared" ref="G19:G24" si="1">+D19/F19</f>
        <v>0.791927347857158</v>
      </c>
      <c r="H19" s="383">
        <f t="shared" ref="H19:H24" si="2">1-G19</f>
        <v>0.208072652142842</v>
      </c>
      <c r="I19" s="381">
        <f>Seller_Ent_Value+Buyer_Ent_Value</f>
        <v>32837.85328895</v>
      </c>
      <c r="J19" s="402">
        <f>Seller_Eq_Value+$J$7</f>
        <v>24191.09828895</v>
      </c>
      <c r="K19" s="381">
        <f t="shared" ref="K19:K24" si="3">+I19-$J$13</f>
        <v>6597.65097923</v>
      </c>
      <c r="L19" s="403">
        <f t="shared" ref="L19:L24" si="4">+K19-SUM($D$8:$D$12)</f>
        <v>5033.50597923</v>
      </c>
      <c r="M19" s="404">
        <f>+N19/Buyer_Share_Price</f>
        <v>0.470598203694289</v>
      </c>
      <c r="N19" s="405">
        <f>+L19/Seller_Diluted_Shares</f>
        <v>55.54</v>
      </c>
      <c r="O19" s="406">
        <f>(N19-Offer_Price)/Offer_Price</f>
        <v>-0.136517057441672</v>
      </c>
    </row>
    <row r="20" ht="15.75" spans="3:15">
      <c r="C20" s="26" t="str">
        <f>"Pro-Forma Ownership @ "&amp;TEXT('Merger-Model'!$E$9,"0.0%")&amp;" Premium:"</f>
        <v>Pro-Forma Ownership @ 15.8% Premium:</v>
      </c>
      <c r="D20" s="384">
        <f>Buyer_Eq_Value</f>
        <v>19157.59230972</v>
      </c>
      <c r="E20" s="384">
        <f>Equity_Purchase_Price</f>
        <v>5831.186380233</v>
      </c>
      <c r="F20" s="385">
        <f t="shared" si="0"/>
        <v>24988.778689953</v>
      </c>
      <c r="G20" s="386">
        <f t="shared" si="1"/>
        <v>0.766647804097065</v>
      </c>
      <c r="H20" s="387">
        <f t="shared" si="2"/>
        <v>0.233352195902935</v>
      </c>
      <c r="I20" s="385">
        <f>Buyer_Ent_Value+$D$13</f>
        <v>33635.533689953</v>
      </c>
      <c r="J20" s="407">
        <f>+$D$7+$J$7</f>
        <v>24988.778689953</v>
      </c>
      <c r="K20" s="385">
        <f t="shared" si="3"/>
        <v>7395.331380233</v>
      </c>
      <c r="L20" s="407">
        <f t="shared" si="4"/>
        <v>5831.186380233</v>
      </c>
      <c r="M20" s="404">
        <f>+N20/Buyer_Share_Price</f>
        <v>0.545175837133711</v>
      </c>
      <c r="N20" s="408">
        <f>+L20/Seller_Diluted_Shares</f>
        <v>64.3416522985206</v>
      </c>
      <c r="O20" s="406">
        <f>(N20-Offer_Price)/Offer_Price</f>
        <v>0.000322636942588624</v>
      </c>
    </row>
    <row r="21" spans="7:12">
      <c r="G21" s="388"/>
      <c r="H21" s="389"/>
      <c r="J21" s="389"/>
      <c r="L21" s="389"/>
    </row>
    <row r="22" spans="2:15">
      <c r="B22" s="376" t="s">
        <v>430</v>
      </c>
      <c r="C22" s="376"/>
      <c r="D22" s="376"/>
      <c r="E22" s="376"/>
      <c r="F22" s="376"/>
      <c r="G22" s="390"/>
      <c r="H22" s="391"/>
      <c r="I22" s="376"/>
      <c r="J22" s="391"/>
      <c r="K22" s="376"/>
      <c r="L22" s="391"/>
      <c r="M22" s="376"/>
      <c r="N22" s="376"/>
      <c r="O22" s="376"/>
    </row>
    <row r="23" ht="15.75" spans="3:15">
      <c r="C23" s="392" t="str">
        <f>"Combined Year 1 - "&amp;TEXT('Merger-Model'!$AC$83,"yyyy-mm-dd")&amp;":"</f>
        <v>Combined Year 1 - 2018-12-31:</v>
      </c>
      <c r="D23" s="384">
        <f>+'DLR-Op-Model'!Y235</f>
        <v>1546.94450214487</v>
      </c>
      <c r="E23" s="384">
        <f>+'DFT-Op-Model'!Y224</f>
        <v>457.813247199983</v>
      </c>
      <c r="F23" s="385">
        <f t="shared" si="0"/>
        <v>2004.75774934485</v>
      </c>
      <c r="G23" s="386">
        <f t="shared" si="1"/>
        <v>0.771636624250689</v>
      </c>
      <c r="H23" s="387">
        <f t="shared" si="2"/>
        <v>0.228363375749311</v>
      </c>
      <c r="I23" s="385">
        <f>+$J$13/G23</f>
        <v>34005.9057398954</v>
      </c>
      <c r="J23" s="407">
        <f>+I23-SUM($D$8:$D$12)-SUM($J$8:$J$12)</f>
        <v>25359.1507398954</v>
      </c>
      <c r="K23" s="385">
        <f t="shared" si="3"/>
        <v>7765.7034301754</v>
      </c>
      <c r="L23" s="409">
        <f t="shared" si="4"/>
        <v>6201.5584301754</v>
      </c>
      <c r="M23" s="404">
        <f>+N23/Buyer_Share_Price</f>
        <v>0.579803077494738</v>
      </c>
      <c r="N23" s="408">
        <f>+L23/Seller_Diluted_Shares</f>
        <v>68.4283592059289</v>
      </c>
      <c r="O23" s="406">
        <f>(N23-Offer_Price)/Offer_Price</f>
        <v>0.0638588577885092</v>
      </c>
    </row>
    <row r="24" ht="15.75" spans="3:15">
      <c r="C24" s="392" t="str">
        <f>"Combined Year 1 - "&amp;TEXT('Merger-Model'!$AD$83,"yyyy-mm-dd")&amp;":"</f>
        <v>Combined Year 1 - 2019-12-31:</v>
      </c>
      <c r="D24" s="384">
        <f>+'DLR-Op-Model'!Z235</f>
        <v>1737.82628821112</v>
      </c>
      <c r="E24" s="384">
        <f>+'DFT-Op-Model'!Z224</f>
        <v>543.504279192212</v>
      </c>
      <c r="F24" s="385">
        <f t="shared" si="0"/>
        <v>2281.33056740333</v>
      </c>
      <c r="G24" s="386">
        <f t="shared" si="1"/>
        <v>0.761759962822555</v>
      </c>
      <c r="H24" s="387">
        <f t="shared" si="2"/>
        <v>0.238240037177445</v>
      </c>
      <c r="I24" s="385">
        <f>+$J$13/G24</f>
        <v>34446.8121066536</v>
      </c>
      <c r="J24" s="407">
        <f>+I24-SUM($D$8:$D$12)-SUM($J$8:$J$12)</f>
        <v>25800.0571066536</v>
      </c>
      <c r="K24" s="385">
        <f t="shared" si="3"/>
        <v>8206.60979693363</v>
      </c>
      <c r="L24" s="407">
        <f t="shared" si="4"/>
        <v>6642.46479693363</v>
      </c>
      <c r="M24" s="404">
        <f>+N24/Buyer_Share_Price</f>
        <v>0.621024791554476</v>
      </c>
      <c r="N24" s="408">
        <f>+L24/Seller_Diluted_Shares</f>
        <v>73.2933458992593</v>
      </c>
      <c r="O24" s="406">
        <f>(N24-Offer_Price)/Offer_Price</f>
        <v>0.139495030375185</v>
      </c>
    </row>
    <row r="25" spans="7:12">
      <c r="G25" s="388"/>
      <c r="H25" s="389"/>
      <c r="J25" s="389"/>
      <c r="L25" s="389"/>
    </row>
    <row r="26" spans="2:15">
      <c r="B26" s="376" t="s">
        <v>431</v>
      </c>
      <c r="C26" s="376"/>
      <c r="D26" s="376"/>
      <c r="E26" s="376"/>
      <c r="F26" s="376"/>
      <c r="G26" s="390"/>
      <c r="H26" s="391"/>
      <c r="I26" s="376"/>
      <c r="J26" s="391"/>
      <c r="K26" s="376"/>
      <c r="L26" s="391"/>
      <c r="M26" s="376"/>
      <c r="N26" s="376"/>
      <c r="O26" s="376"/>
    </row>
    <row r="27" ht="15.75" spans="3:15">
      <c r="C27" s="26" t="s">
        <v>432</v>
      </c>
      <c r="D27" s="384">
        <f>+'DLR-NAV'!H54</f>
        <v>15778.7657395888</v>
      </c>
      <c r="E27" s="384">
        <f>+'DFT-NAV'!H54</f>
        <v>4942.481458</v>
      </c>
      <c r="F27" s="385">
        <f t="shared" ref="F27:F31" si="5">+D27+E27</f>
        <v>20721.2471975888</v>
      </c>
      <c r="G27" s="386">
        <f t="shared" ref="G27:G31" si="6">+D27/F27</f>
        <v>0.761477607459114</v>
      </c>
      <c r="H27" s="387">
        <f t="shared" ref="H27:H31" si="7">1-G27</f>
        <v>0.238522392540886</v>
      </c>
      <c r="I27" s="385">
        <f>+J27+SUM($D$8:$D$12)+SUM($J$8:$J$12)</f>
        <v>33805.1997422489</v>
      </c>
      <c r="J27" s="407">
        <f>+$J$7/G27</f>
        <v>25158.4447422489</v>
      </c>
      <c r="K27" s="385">
        <f t="shared" ref="K27:K31" si="8">+I27-$J$13</f>
        <v>7564.99743252888</v>
      </c>
      <c r="L27" s="409">
        <f t="shared" ref="L27:L31" si="9">+K27-SUM($D$8:$D$12)</f>
        <v>6000.85243252888</v>
      </c>
      <c r="M27" s="404">
        <f>+N27/Buyer_Share_Price</f>
        <v>0.561038446568925</v>
      </c>
      <c r="N27" s="408">
        <f>+L27/Seller_Diluted_Shares</f>
        <v>66.2137574640645</v>
      </c>
      <c r="O27" s="406">
        <f>(N27-Offer_Price)/Offer_Price</f>
        <v>0.0294283423283028</v>
      </c>
    </row>
    <row r="28" spans="7:12">
      <c r="G28" s="388"/>
      <c r="H28" s="389"/>
      <c r="J28" s="389"/>
      <c r="L28" s="389"/>
    </row>
    <row r="29" spans="2:15">
      <c r="B29" s="376" t="s">
        <v>21</v>
      </c>
      <c r="C29" s="376"/>
      <c r="D29" s="376"/>
      <c r="E29" s="376"/>
      <c r="F29" s="376"/>
      <c r="G29" s="390"/>
      <c r="H29" s="391"/>
      <c r="I29" s="376"/>
      <c r="J29" s="391"/>
      <c r="K29" s="376"/>
      <c r="L29" s="391"/>
      <c r="M29" s="376"/>
      <c r="N29" s="376"/>
      <c r="O29" s="376"/>
    </row>
    <row r="30" ht="15.75" spans="3:15">
      <c r="C30" s="392" t="str">
        <f>"Combined Year 1 - "&amp;TEXT('Merger-Model'!$AC$83,"yyyy-mm-dd")&amp;":"</f>
        <v>Combined Year 1 - 2018-12-31:</v>
      </c>
      <c r="D30" s="384">
        <f>+'DLR-Op-Model'!Y231</f>
        <v>1383.35356320562</v>
      </c>
      <c r="E30" s="384">
        <f>+'DFT-Op-Model'!Y220</f>
        <v>426.601927044865</v>
      </c>
      <c r="F30" s="385">
        <f t="shared" si="5"/>
        <v>1809.95549025048</v>
      </c>
      <c r="G30" s="386">
        <f t="shared" si="6"/>
        <v>0.76430253155793</v>
      </c>
      <c r="H30" s="387">
        <f t="shared" si="7"/>
        <v>0.23569746844207</v>
      </c>
      <c r="I30" s="385">
        <f>+$J$13/G30</f>
        <v>34332.2195416948</v>
      </c>
      <c r="J30" s="407">
        <f>+I30-SUM($D$8:$D$12)-SUM($J$8:$J$12)</f>
        <v>25685.4645416948</v>
      </c>
      <c r="K30" s="385">
        <f t="shared" si="8"/>
        <v>8092.01723197485</v>
      </c>
      <c r="L30" s="409">
        <f t="shared" si="9"/>
        <v>6527.87223197485</v>
      </c>
      <c r="M30" s="404">
        <f>+N30/Buyer_Share_Price</f>
        <v>0.610311174554944</v>
      </c>
      <c r="N30" s="408">
        <f>+L30/Seller_Diluted_Shares</f>
        <v>72.0289248209745</v>
      </c>
      <c r="O30" s="406">
        <f>(N30-Offer_Price)/Offer_Price</f>
        <v>0.119837017532007</v>
      </c>
    </row>
    <row r="31" ht="15.75" spans="3:15">
      <c r="C31" s="392" t="str">
        <f>"Combined Year 1 - "&amp;TEXT('Merger-Model'!$AD$83,"yyyy-mm-dd")&amp;":"</f>
        <v>Combined Year 1 - 2019-12-31:</v>
      </c>
      <c r="D31" s="384">
        <f>+'DLR-Op-Model'!Z231</f>
        <v>1553.35316118881</v>
      </c>
      <c r="E31" s="384">
        <f>+'DFT-Op-Model'!Z220</f>
        <v>506.538973422132</v>
      </c>
      <c r="F31" s="385">
        <f t="shared" si="5"/>
        <v>2059.89213461094</v>
      </c>
      <c r="G31" s="386">
        <f t="shared" si="6"/>
        <v>0.754094418386717</v>
      </c>
      <c r="H31" s="387">
        <f t="shared" si="7"/>
        <v>0.245905581613283</v>
      </c>
      <c r="I31" s="385">
        <f>+$J$13/G31</f>
        <v>34796.9719307264</v>
      </c>
      <c r="J31" s="407">
        <f>+I31-SUM($D$8:$D$12)-SUM($J$8:$J$12)</f>
        <v>26150.2169307264</v>
      </c>
      <c r="K31" s="385">
        <f t="shared" si="8"/>
        <v>8556.76962100636</v>
      </c>
      <c r="L31" s="407">
        <f t="shared" si="9"/>
        <v>6992.62462100636</v>
      </c>
      <c r="M31" s="404">
        <f>+N31/Buyer_Share_Price</f>
        <v>0.653762327755782</v>
      </c>
      <c r="N31" s="408">
        <f>+L31/Seller_Diluted_Shares</f>
        <v>77.1570299217374</v>
      </c>
      <c r="O31" s="406">
        <f>(N31-Offer_Price)/Offer_Price</f>
        <v>0.199563904139049</v>
      </c>
    </row>
    <row r="32" ht="15.75" spans="7:28">
      <c r="G32" s="388"/>
      <c r="H32" s="389"/>
      <c r="J32" s="389"/>
      <c r="L32" s="389"/>
      <c r="AA32" s="11"/>
      <c r="AB32" s="33"/>
    </row>
    <row r="33" ht="15.75" spans="2:28">
      <c r="B33" s="376" t="s">
        <v>50</v>
      </c>
      <c r="C33" s="376"/>
      <c r="D33" s="376"/>
      <c r="E33" s="376"/>
      <c r="F33" s="376"/>
      <c r="G33" s="390"/>
      <c r="H33" s="391"/>
      <c r="I33" s="376"/>
      <c r="J33" s="391"/>
      <c r="K33" s="376"/>
      <c r="L33" s="391"/>
      <c r="M33" s="376"/>
      <c r="N33" s="376"/>
      <c r="O33" s="376"/>
      <c r="AA33" s="11"/>
      <c r="AB33" s="33"/>
    </row>
    <row r="34" ht="15.75" spans="3:28">
      <c r="C34" s="392" t="str">
        <f>"Combined Year 1 - "&amp;TEXT('Merger-Model'!$AC$83,"yyyy-mm-dd")&amp;":"</f>
        <v>Combined Year 1 - 2018-12-31:</v>
      </c>
      <c r="D34" s="384">
        <f>+'DLR-Op-Model'!Y206</f>
        <v>1046.0981891266</v>
      </c>
      <c r="E34" s="384">
        <f>+'DFT-Op-Model'!Y195</f>
        <v>344.842634134266</v>
      </c>
      <c r="F34" s="385">
        <f t="shared" ref="F34:F39" si="10">+D34+E34</f>
        <v>1390.94082326086</v>
      </c>
      <c r="G34" s="386">
        <f t="shared" ref="G34:G39" si="11">+D34/F34</f>
        <v>0.752079579254974</v>
      </c>
      <c r="H34" s="387">
        <f t="shared" ref="H34:H39" si="12">1-G34</f>
        <v>0.247920420745026</v>
      </c>
      <c r="I34" s="385">
        <f t="shared" ref="I34:I39" si="13">+J34+SUM($D$8:$D$12)+SUM($J$8:$J$12)</f>
        <v>34119.581065425</v>
      </c>
      <c r="J34" s="407">
        <f t="shared" ref="J34:J39" si="14">+$J$7/G34</f>
        <v>25472.826065425</v>
      </c>
      <c r="K34" s="385">
        <f t="shared" ref="K34:K39" si="15">+I34-$J$13</f>
        <v>7879.37875570505</v>
      </c>
      <c r="L34" s="409">
        <f t="shared" ref="L34:L39" si="16">+K34-SUM($D$8:$D$12)</f>
        <v>6315.23375570505</v>
      </c>
      <c r="M34" s="404">
        <f>+N34/Buyer_Share_Price</f>
        <v>0.590430938913668</v>
      </c>
      <c r="N34" s="408">
        <f>+L34/Seller_Diluted_Shares</f>
        <v>69.6826594105912</v>
      </c>
      <c r="O34" s="406">
        <f>(N34-Offer_Price)/Offer_Price</f>
        <v>0.0833595209425109</v>
      </c>
      <c r="AA34" s="108"/>
      <c r="AB34" s="33"/>
    </row>
    <row r="35" ht="15.75" spans="3:28">
      <c r="C35" s="392" t="str">
        <f>"Combined Year 1 - "&amp;TEXT('Merger-Model'!$AD$83,"yyyy-mm-dd")&amp;":"</f>
        <v>Combined Year 1 - 2019-12-31:</v>
      </c>
      <c r="D35" s="384">
        <f>+'DLR-Op-Model'!Z206</f>
        <v>1179.29331908665</v>
      </c>
      <c r="E35" s="384">
        <f>+'DFT-Op-Model'!Z195</f>
        <v>411.504156559336</v>
      </c>
      <c r="F35" s="385">
        <f t="shared" si="10"/>
        <v>1590.79747564599</v>
      </c>
      <c r="G35" s="386">
        <f t="shared" si="11"/>
        <v>0.741322096081254</v>
      </c>
      <c r="H35" s="387">
        <f t="shared" si="12"/>
        <v>0.258677903918746</v>
      </c>
      <c r="I35" s="385">
        <f t="shared" si="13"/>
        <v>34489.2226817136</v>
      </c>
      <c r="J35" s="407">
        <f t="shared" si="14"/>
        <v>25842.4676817136</v>
      </c>
      <c r="K35" s="385">
        <f t="shared" si="15"/>
        <v>8249.0203719936</v>
      </c>
      <c r="L35" s="407">
        <f t="shared" si="16"/>
        <v>6684.8753719936</v>
      </c>
      <c r="M35" s="404">
        <f>+N35/Buyer_Share_Price</f>
        <v>0.624989888749794</v>
      </c>
      <c r="N35" s="408">
        <f>+L35/Seller_Diluted_Shares</f>
        <v>73.7613066702507</v>
      </c>
      <c r="O35" s="406">
        <f>(N35-Offer_Price)/Offer_Price</f>
        <v>0.146770438073017</v>
      </c>
      <c r="AA35" s="11"/>
      <c r="AB35" s="33"/>
    </row>
    <row r="36" ht="15.75" spans="7:28">
      <c r="G36" s="388"/>
      <c r="H36" s="389"/>
      <c r="J36" s="389"/>
      <c r="L36" s="389"/>
      <c r="AA36" s="11"/>
      <c r="AB36" s="33"/>
    </row>
    <row r="37" ht="15.75" spans="2:28">
      <c r="B37" s="376" t="s">
        <v>51</v>
      </c>
      <c r="C37" s="376"/>
      <c r="D37" s="376"/>
      <c r="E37" s="376"/>
      <c r="F37" s="376"/>
      <c r="G37" s="390"/>
      <c r="H37" s="391"/>
      <c r="I37" s="376"/>
      <c r="J37" s="391"/>
      <c r="K37" s="376"/>
      <c r="L37" s="391"/>
      <c r="M37" s="376"/>
      <c r="N37" s="376"/>
      <c r="O37" s="376"/>
      <c r="AA37" s="11"/>
      <c r="AB37" s="33"/>
    </row>
    <row r="38" ht="15.75" spans="3:28">
      <c r="C38" s="392" t="str">
        <f>"Combined Year 1 - "&amp;TEXT('Merger-Model'!$AC$83,"yyyy-mm-dd")&amp;":"</f>
        <v>Combined Year 1 - 2018-12-31:</v>
      </c>
      <c r="D38" s="384">
        <f>+'DLR-Op-Model'!Y214</f>
        <v>934.733590757311</v>
      </c>
      <c r="E38" s="384">
        <f>+'DFT-Op-Model'!Y203</f>
        <v>336.561442032189</v>
      </c>
      <c r="F38" s="385">
        <f t="shared" si="10"/>
        <v>1271.2950327895</v>
      </c>
      <c r="G38" s="386">
        <f t="shared" si="11"/>
        <v>0.735260947811855</v>
      </c>
      <c r="H38" s="387">
        <f t="shared" si="12"/>
        <v>0.264739052188145</v>
      </c>
      <c r="I38" s="385">
        <f t="shared" si="13"/>
        <v>34702.2559302931</v>
      </c>
      <c r="J38" s="407">
        <f t="shared" si="14"/>
        <v>26055.5009302931</v>
      </c>
      <c r="K38" s="385">
        <f t="shared" si="15"/>
        <v>8462.05362057313</v>
      </c>
      <c r="L38" s="409">
        <f t="shared" si="16"/>
        <v>6897.90862057313</v>
      </c>
      <c r="M38" s="404">
        <f>+N38/Buyer_Share_Price</f>
        <v>0.644907032887969</v>
      </c>
      <c r="N38" s="408">
        <f>+L38/Seller_Diluted_Shares</f>
        <v>76.1119280214381</v>
      </c>
      <c r="O38" s="406">
        <f>(N38-Offer_Price)/Offer_Price</f>
        <v>0.183315656675172</v>
      </c>
      <c r="AA38" s="11"/>
      <c r="AB38" s="33"/>
    </row>
    <row r="39" ht="15.75" spans="3:28">
      <c r="C39" s="392" t="str">
        <f>"Combined Year 1 - "&amp;TEXT('Merger-Model'!$AD$83,"yyyy-mm-dd")&amp;":"</f>
        <v>Combined Year 1 - 2019-12-31:</v>
      </c>
      <c r="D39" s="384">
        <f>+'DLR-Op-Model'!Z214</f>
        <v>1054.50366085261</v>
      </c>
      <c r="E39" s="384">
        <f>+'DFT-Op-Model'!Z203</f>
        <v>400.204731021806</v>
      </c>
      <c r="F39" s="385">
        <f t="shared" si="10"/>
        <v>1454.70839187441</v>
      </c>
      <c r="G39" s="386">
        <f t="shared" si="11"/>
        <v>0.72489006507611</v>
      </c>
      <c r="H39" s="387">
        <f t="shared" si="12"/>
        <v>0.27510993492389</v>
      </c>
      <c r="I39" s="385">
        <f t="shared" si="13"/>
        <v>35075.0276894712</v>
      </c>
      <c r="J39" s="407">
        <f t="shared" si="14"/>
        <v>26428.2726894712</v>
      </c>
      <c r="K39" s="385">
        <f t="shared" si="15"/>
        <v>8834.82537975125</v>
      </c>
      <c r="L39" s="407">
        <f t="shared" si="16"/>
        <v>7270.68037975125</v>
      </c>
      <c r="M39" s="404">
        <f>+N39/Buyer_Share_Price</f>
        <v>0.67975862956453</v>
      </c>
      <c r="N39" s="408">
        <f>+L39/Seller_Diluted_Shares</f>
        <v>80.2251134612058</v>
      </c>
      <c r="O39" s="406">
        <f>(N39-Offer_Price)/Offer_Price</f>
        <v>0.247263540485375</v>
      </c>
      <c r="AA39" s="11"/>
      <c r="AB39" s="33"/>
    </row>
    <row r="40" ht="15.75" spans="7:28">
      <c r="G40" s="388"/>
      <c r="H40" s="389"/>
      <c r="J40" s="389"/>
      <c r="L40" s="389"/>
      <c r="AA40" s="11"/>
      <c r="AB40" s="33"/>
    </row>
    <row r="41" ht="15.75" spans="2:28">
      <c r="B41" s="376" t="s">
        <v>433</v>
      </c>
      <c r="C41" s="376"/>
      <c r="D41" s="376"/>
      <c r="E41" s="376"/>
      <c r="F41" s="376"/>
      <c r="G41" s="390"/>
      <c r="H41" s="391"/>
      <c r="I41" s="376"/>
      <c r="J41" s="391"/>
      <c r="K41" s="376"/>
      <c r="L41" s="391"/>
      <c r="M41" s="376"/>
      <c r="N41" s="376"/>
      <c r="O41" s="376"/>
      <c r="AA41" s="11"/>
      <c r="AB41" s="33"/>
    </row>
    <row r="42" ht="15.75" spans="3:28">
      <c r="C42" s="26" t="s">
        <v>52</v>
      </c>
      <c r="D42" s="384">
        <f>+'Merger-Model'!L160</f>
        <v>12255.6037207484</v>
      </c>
      <c r="E42" s="384">
        <f>+'Merger-Model'!M160</f>
        <v>3796.1831420712</v>
      </c>
      <c r="F42" s="385">
        <f t="shared" ref="F42:F44" si="17">+D42+E42</f>
        <v>16051.7868628196</v>
      </c>
      <c r="G42" s="386">
        <f t="shared" ref="G42:G44" si="18">+D42/F42</f>
        <v>0.763504015190719</v>
      </c>
      <c r="H42" s="387">
        <f t="shared" ref="H42:H44" si="19">1-G42</f>
        <v>0.236495984809281</v>
      </c>
      <c r="I42" s="385">
        <f t="shared" ref="I42:I44" si="20">+J42+SUM($D$8:$D$12)+SUM($J$8:$J$12)</f>
        <v>33738.4269867341</v>
      </c>
      <c r="J42" s="407">
        <f t="shared" ref="J42:J44" si="21">+$J$7/G42</f>
        <v>25091.6719867341</v>
      </c>
      <c r="K42" s="385">
        <f t="shared" ref="K42:K44" si="22">+I42-$J$13</f>
        <v>7498.22467701415</v>
      </c>
      <c r="L42" s="409">
        <f t="shared" ref="L42:L44" si="23">+K42-SUM($D$8:$D$12)</f>
        <v>5934.07967701415</v>
      </c>
      <c r="M42" s="404">
        <f>+N42/Buyer_Share_Price</f>
        <v>0.554795652991126</v>
      </c>
      <c r="N42" s="408">
        <f>+L42/Seller_Diluted_Shares</f>
        <v>65.4769829660127</v>
      </c>
      <c r="O42" s="406">
        <f>(N42-Offer_Price)/Offer_Price</f>
        <v>0.0179736752130757</v>
      </c>
      <c r="AA42" s="11"/>
      <c r="AB42" s="33"/>
    </row>
    <row r="43" ht="15.75" spans="3:28">
      <c r="C43" s="26" t="s">
        <v>434</v>
      </c>
      <c r="D43" s="384">
        <f>+'Merger-Model'!L173</f>
        <v>12413.7682673493</v>
      </c>
      <c r="E43" s="384">
        <f>+'Merger-Model'!M173</f>
        <v>3287.34023380285</v>
      </c>
      <c r="F43" s="385">
        <f t="shared" si="17"/>
        <v>15701.1085011522</v>
      </c>
      <c r="G43" s="386">
        <f t="shared" si="18"/>
        <v>0.790630054332685</v>
      </c>
      <c r="H43" s="387">
        <f t="shared" si="19"/>
        <v>0.209369945667315</v>
      </c>
      <c r="I43" s="385">
        <f t="shared" si="20"/>
        <v>32877.5468915245</v>
      </c>
      <c r="J43" s="407">
        <f t="shared" si="21"/>
        <v>24230.7918915245</v>
      </c>
      <c r="K43" s="385">
        <f t="shared" si="22"/>
        <v>6637.34458180451</v>
      </c>
      <c r="L43" s="407">
        <f t="shared" si="23"/>
        <v>5073.19958180451</v>
      </c>
      <c r="M43" s="404">
        <f>+N43/Buyer_Share_Price</f>
        <v>0.474309282641408</v>
      </c>
      <c r="N43" s="408">
        <f>+L43/Seller_Diluted_Shares</f>
        <v>55.977981537339</v>
      </c>
      <c r="O43" s="406">
        <f>(N43-Offer_Price)/Offer_Price</f>
        <v>-0.129707738272646</v>
      </c>
      <c r="AA43" s="11"/>
      <c r="AB43" s="33"/>
    </row>
    <row r="44" ht="15.75" spans="3:28">
      <c r="C44" s="26" t="s">
        <v>77</v>
      </c>
      <c r="D44" s="384">
        <f>+'Merger-Model'!L181</f>
        <v>3828.11263752162</v>
      </c>
      <c r="E44" s="384">
        <f>+'Merger-Model'!M181</f>
        <v>765.562532104626</v>
      </c>
      <c r="F44" s="385">
        <f t="shared" si="17"/>
        <v>4593.67516962625</v>
      </c>
      <c r="G44" s="386">
        <f t="shared" si="18"/>
        <v>0.833344217029844</v>
      </c>
      <c r="H44" s="387">
        <f t="shared" si="19"/>
        <v>0.166655782970156</v>
      </c>
      <c r="I44" s="385">
        <f t="shared" si="20"/>
        <v>31635.5655277797</v>
      </c>
      <c r="J44" s="407">
        <f t="shared" si="21"/>
        <v>22988.8105277797</v>
      </c>
      <c r="K44" s="385">
        <f t="shared" si="22"/>
        <v>5395.36321805969</v>
      </c>
      <c r="L44" s="407">
        <f t="shared" si="23"/>
        <v>3831.21821805969</v>
      </c>
      <c r="M44" s="404">
        <f>+N44/Buyer_Share_Price</f>
        <v>0.358192563755638</v>
      </c>
      <c r="N44" s="408">
        <f>+L44/Seller_Diluted_Shares</f>
        <v>42.2738863744404</v>
      </c>
      <c r="O44" s="406">
        <f>(N44-Offer_Price)/Offer_Price</f>
        <v>-0.342765938063049</v>
      </c>
      <c r="AA44" s="11"/>
      <c r="AB44" s="33"/>
    </row>
    <row r="45" ht="15.75" spans="8:28">
      <c r="H45" s="393"/>
      <c r="AA45" s="11"/>
      <c r="AB45" s="33"/>
    </row>
    <row r="46" ht="15.75" spans="3:28">
      <c r="C46" s="394" t="s">
        <v>435</v>
      </c>
      <c r="G46" s="394" t="s">
        <v>113</v>
      </c>
      <c r="H46" s="394" t="s">
        <v>424</v>
      </c>
      <c r="I46" s="394" t="s">
        <v>428</v>
      </c>
      <c r="J46" s="394" t="s">
        <v>436</v>
      </c>
      <c r="K46" s="394"/>
      <c r="L46" s="394"/>
      <c r="AA46" s="11"/>
      <c r="AB46" s="33"/>
    </row>
    <row r="47" ht="15.75" spans="3:28">
      <c r="C47" s="25" t="str">
        <f t="shared" ref="C47:H47" si="24">+C44</f>
        <v>Common Equity:</v>
      </c>
      <c r="G47" s="395">
        <f t="shared" si="24"/>
        <v>0.833344217029844</v>
      </c>
      <c r="H47" s="395">
        <f t="shared" si="24"/>
        <v>0.166655782970156</v>
      </c>
      <c r="I47" s="410">
        <f>Offer_Price</f>
        <v>64.3209</v>
      </c>
      <c r="J47" s="405">
        <f>+N44</f>
        <v>42.2738863744404</v>
      </c>
      <c r="K47" s="395"/>
      <c r="L47" s="395"/>
      <c r="AA47" s="11"/>
      <c r="AB47" s="33"/>
    </row>
    <row r="48" ht="15.75" spans="3:28">
      <c r="C48" s="25" t="str">
        <f t="shared" ref="C48:H48" si="25">+C43</f>
        <v>Total Assets:</v>
      </c>
      <c r="G48" s="395">
        <f t="shared" si="25"/>
        <v>0.790630054332685</v>
      </c>
      <c r="H48" s="395">
        <f t="shared" si="25"/>
        <v>0.209369945667315</v>
      </c>
      <c r="I48" s="411">
        <f>Offer_Price</f>
        <v>64.3209</v>
      </c>
      <c r="J48" s="408">
        <f>+N43</f>
        <v>55.977981537339</v>
      </c>
      <c r="K48" s="395"/>
      <c r="L48" s="395"/>
      <c r="AA48" s="11"/>
      <c r="AB48" s="33"/>
    </row>
    <row r="49" ht="15.75" spans="3:28">
      <c r="C49" s="25" t="str">
        <f t="shared" ref="C49:H49" si="26">+C42</f>
        <v>Gross Real Estate Assets:</v>
      </c>
      <c r="G49" s="395">
        <f t="shared" si="26"/>
        <v>0.763504015190719</v>
      </c>
      <c r="H49" s="395">
        <f t="shared" si="26"/>
        <v>0.236495984809281</v>
      </c>
      <c r="I49" s="411">
        <f>Offer_Price</f>
        <v>64.3209</v>
      </c>
      <c r="J49" s="408">
        <f>+N42</f>
        <v>65.4769829660127</v>
      </c>
      <c r="K49" s="395"/>
      <c r="L49" s="395"/>
      <c r="AA49" s="11"/>
      <c r="AB49" s="33"/>
    </row>
    <row r="50" ht="15.75" spans="3:28">
      <c r="C50" s="25" t="str">
        <f>"AFFO - "&amp;C39</f>
        <v>AFFO - Combined Year 1 - 2019-12-31:</v>
      </c>
      <c r="G50" s="395">
        <f>+G39</f>
        <v>0.72489006507611</v>
      </c>
      <c r="H50" s="395">
        <f>+H39</f>
        <v>0.27510993492389</v>
      </c>
      <c r="I50" s="411">
        <f>Offer_Price</f>
        <v>64.3209</v>
      </c>
      <c r="J50" s="408">
        <f>+N39</f>
        <v>80.2251134612058</v>
      </c>
      <c r="K50" s="395"/>
      <c r="L50" s="395"/>
      <c r="Q50" s="11"/>
      <c r="R50" s="11"/>
      <c r="S50" s="11"/>
      <c r="T50" s="11"/>
      <c r="U50" s="11"/>
      <c r="V50" s="11"/>
      <c r="W50" s="11"/>
      <c r="X50" s="11"/>
      <c r="Y50" s="108"/>
      <c r="Z50" s="108"/>
      <c r="AA50" s="11"/>
      <c r="AB50" s="33"/>
    </row>
    <row r="51" ht="15.75" spans="3:28">
      <c r="C51" s="25" t="str">
        <f>"AFFO - "&amp;C38</f>
        <v>AFFO - Combined Year 1 - 2018-12-31:</v>
      </c>
      <c r="G51" s="395">
        <f>+G38</f>
        <v>0.735260947811855</v>
      </c>
      <c r="H51" s="395">
        <f>+H38</f>
        <v>0.264739052188145</v>
      </c>
      <c r="I51" s="411">
        <f>Offer_Price</f>
        <v>64.3209</v>
      </c>
      <c r="J51" s="408">
        <f>+N38</f>
        <v>76.1119280214381</v>
      </c>
      <c r="K51" s="395"/>
      <c r="L51" s="395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33"/>
    </row>
    <row r="52" ht="15.75" spans="3:28">
      <c r="C52" s="25" t="str">
        <f>"FFO - "&amp;C35</f>
        <v>FFO - Combined Year 1 - 2019-12-31:</v>
      </c>
      <c r="G52" s="395">
        <f>+G35</f>
        <v>0.741322096081254</v>
      </c>
      <c r="H52" s="395">
        <f>+H35</f>
        <v>0.258677903918746</v>
      </c>
      <c r="I52" s="411">
        <f>Offer_Price</f>
        <v>64.3209</v>
      </c>
      <c r="J52" s="408">
        <f>+N35</f>
        <v>73.7613066702507</v>
      </c>
      <c r="K52" s="395"/>
      <c r="L52" s="395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33"/>
    </row>
    <row r="53" ht="15.75" spans="3:28">
      <c r="C53" s="25" t="str">
        <f>"FFO - "&amp;C34</f>
        <v>FFO - Combined Year 1 - 2018-12-31:</v>
      </c>
      <c r="G53" s="395">
        <f>+G34</f>
        <v>0.752079579254974</v>
      </c>
      <c r="H53" s="395">
        <f>+H34</f>
        <v>0.247920420745026</v>
      </c>
      <c r="I53" s="411">
        <f>Offer_Price</f>
        <v>64.3209</v>
      </c>
      <c r="J53" s="408">
        <f>+N34</f>
        <v>69.6826594105912</v>
      </c>
      <c r="K53" s="395"/>
      <c r="L53" s="395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33"/>
    </row>
    <row r="54" ht="15.75" spans="3:28">
      <c r="C54" s="25" t="str">
        <f>"EBITDA - "&amp;C31</f>
        <v>EBITDA - Combined Year 1 - 2019-12-31:</v>
      </c>
      <c r="G54" s="395">
        <f>+G31</f>
        <v>0.754094418386717</v>
      </c>
      <c r="H54" s="395">
        <f>+H31</f>
        <v>0.245905581613283</v>
      </c>
      <c r="I54" s="411">
        <f>Offer_Price</f>
        <v>64.3209</v>
      </c>
      <c r="J54" s="408">
        <f>+N31</f>
        <v>77.1570299217374</v>
      </c>
      <c r="K54" s="395"/>
      <c r="L54" s="395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33"/>
    </row>
    <row r="55" ht="15.75" spans="3:28">
      <c r="C55" s="396" t="str">
        <f>"EBITDA - "&amp;C30</f>
        <v>EBITDA - Combined Year 1 - 2018-12-31:</v>
      </c>
      <c r="G55" s="395">
        <f>+G30</f>
        <v>0.76430253155793</v>
      </c>
      <c r="H55" s="395">
        <f>+H30</f>
        <v>0.23569746844207</v>
      </c>
      <c r="I55" s="411">
        <f>Offer_Price</f>
        <v>64.3209</v>
      </c>
      <c r="J55" s="408">
        <f>+N30</f>
        <v>72.0289248209745</v>
      </c>
      <c r="K55" s="395"/>
      <c r="L55" s="395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33"/>
    </row>
    <row r="56" ht="15.75" spans="3:28">
      <c r="C56" s="25" t="str">
        <f>B26</f>
        <v>Net Asset Value (NAV):</v>
      </c>
      <c r="G56" s="395">
        <f>+G27</f>
        <v>0.761477607459114</v>
      </c>
      <c r="H56" s="395">
        <f>+H27</f>
        <v>0.238522392540886</v>
      </c>
      <c r="I56" s="411">
        <f>Offer_Price</f>
        <v>64.3209</v>
      </c>
      <c r="J56" s="408">
        <f>+N27</f>
        <v>66.2137574640645</v>
      </c>
      <c r="K56" s="395"/>
      <c r="L56" s="395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33"/>
    </row>
    <row r="57" ht="15.75" spans="3:28">
      <c r="C57" s="25" t="str">
        <f>"NOI - "&amp;C24</f>
        <v>NOI - Combined Year 1 - 2019-12-31:</v>
      </c>
      <c r="G57" s="395">
        <f>+G24</f>
        <v>0.761759962822555</v>
      </c>
      <c r="H57" s="395">
        <f>+H24</f>
        <v>0.238240037177445</v>
      </c>
      <c r="I57" s="411">
        <f>Offer_Price</f>
        <v>64.3209</v>
      </c>
      <c r="J57" s="408">
        <f>+N24</f>
        <v>73.2933458992593</v>
      </c>
      <c r="K57" s="395"/>
      <c r="L57" s="395"/>
      <c r="Q57" s="108"/>
      <c r="R57" s="108"/>
      <c r="S57" s="108"/>
      <c r="T57" s="108"/>
      <c r="U57" s="108"/>
      <c r="V57" s="108"/>
      <c r="W57" s="108"/>
      <c r="X57" s="108"/>
      <c r="Y57" s="108"/>
      <c r="Z57" s="11"/>
      <c r="AA57" s="11"/>
      <c r="AB57" s="33"/>
    </row>
    <row r="58" ht="15.75" spans="3:28">
      <c r="C58" s="25" t="str">
        <f>"NOI - "&amp;C23</f>
        <v>NOI - Combined Year 1 - 2018-12-31:</v>
      </c>
      <c r="G58" s="395">
        <f>+G23</f>
        <v>0.771636624250689</v>
      </c>
      <c r="H58" s="395">
        <f>+H23</f>
        <v>0.228363375749311</v>
      </c>
      <c r="I58" s="411">
        <f>Offer_Price</f>
        <v>64.3209</v>
      </c>
      <c r="J58" s="408">
        <f>+N23</f>
        <v>68.4283592059289</v>
      </c>
      <c r="K58" s="395"/>
      <c r="L58" s="395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33"/>
    </row>
    <row r="59" ht="15.75" spans="17:28"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33"/>
    </row>
    <row r="60" ht="15.75" spans="3:28">
      <c r="C60" s="25" t="s">
        <v>437</v>
      </c>
      <c r="G60" s="395">
        <f>+G20</f>
        <v>0.766647804097065</v>
      </c>
      <c r="H60" s="395">
        <f>+H20</f>
        <v>0.233352195902935</v>
      </c>
      <c r="I60" s="411">
        <f>Offer_Price</f>
        <v>64.3209</v>
      </c>
      <c r="J60" s="408">
        <f>+N20</f>
        <v>64.3416522985206</v>
      </c>
      <c r="K60" s="395"/>
      <c r="L60" s="395"/>
      <c r="M60" s="411"/>
      <c r="N60" s="408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33"/>
    </row>
    <row r="61" ht="15.75" spans="7:28">
      <c r="G61" s="395">
        <f>G60</f>
        <v>0.766647804097065</v>
      </c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33"/>
    </row>
    <row r="62" ht="15.75" spans="17:28"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33"/>
    </row>
    <row r="63" ht="15.75" spans="17:28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33"/>
    </row>
    <row r="64" ht="15.75" spans="17:28">
      <c r="Q64" s="108"/>
      <c r="R64" s="108"/>
      <c r="S64" s="108"/>
      <c r="T64" s="108"/>
      <c r="U64" s="108"/>
      <c r="V64" s="108"/>
      <c r="W64" s="108"/>
      <c r="X64" s="108"/>
      <c r="Y64" s="108"/>
      <c r="Z64" s="11"/>
      <c r="AA64" s="11"/>
      <c r="AB64" s="33"/>
    </row>
    <row r="65" ht="15.75" spans="17:28"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33"/>
    </row>
    <row r="66" ht="15.75" spans="17:28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33"/>
    </row>
    <row r="67" spans="17:27"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7:27"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7:27"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7:27"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7:27"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7:27"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7:27"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7:27"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7:27"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7:27"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7:27"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7:27"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7:27"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7:27"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7:27"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7:27"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7:27"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7:27"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</sheetData>
  <pageMargins left="0.699305555555556" right="0.699305555555556" top="0.75" bottom="0.75" header="0.3" footer="0.3"/>
  <pageSetup paperSize="1" scale="10" orientation="landscape" horizontalDpi="300" verticalDpi="300"/>
  <headerFooter/>
  <rowBreaks count="1" manualBreakCount="1">
    <brk id="61" max="11" man="1"/>
  </row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autoPageBreaks="0"/>
  </sheetPr>
  <dimension ref="B2:Z261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Buyer_Name&amp;" - Operating Model"</f>
        <v>Digital Realty Trust,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442</v>
      </c>
      <c r="F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369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0.006</v>
      </c>
      <c r="N9" s="281">
        <v>41.73</v>
      </c>
      <c r="O9" s="111">
        <f>IF(N9&lt;Buyer_Share_Price,M9-((M9*N9)/Buyer_Share_Price),0)</f>
        <v>0.00387849517031012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449</v>
      </c>
      <c r="M10" s="282">
        <v>1.534357</v>
      </c>
      <c r="O10" s="112">
        <f t="shared" ref="O10:O12" si="0">+M10</f>
        <v>1.534357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1.011814</v>
      </c>
      <c r="O11" s="112">
        <f t="shared" si="0"/>
        <v>1.011814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452</v>
      </c>
      <c r="L12" s="115"/>
      <c r="M12" s="282">
        <v>0</v>
      </c>
      <c r="N12" s="283"/>
      <c r="O12" s="218">
        <f t="shared" si="0"/>
        <v>0</v>
      </c>
    </row>
    <row r="13" outlineLevel="1" spans="2:15">
      <c r="B13" s="245"/>
      <c r="C13" s="11" t="s">
        <v>453</v>
      </c>
      <c r="D13" s="246" t="s">
        <v>80</v>
      </c>
      <c r="E13" s="247">
        <v>42893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2.55004949517031</v>
      </c>
    </row>
    <row r="14" outlineLevel="1" spans="2:9">
      <c r="B14" s="245"/>
      <c r="C14" s="11" t="s">
        <v>455</v>
      </c>
      <c r="D14" s="246" t="s">
        <v>65</v>
      </c>
      <c r="E14" s="249">
        <v>118.02</v>
      </c>
      <c r="F14" s="245"/>
      <c r="G14" s="245"/>
      <c r="H14" s="245"/>
      <c r="I14" s="245"/>
    </row>
    <row r="15" outlineLevel="1" spans="2:15">
      <c r="B15" s="245"/>
      <c r="C15" s="11" t="s">
        <v>456</v>
      </c>
      <c r="D15" s="9" t="s">
        <v>229</v>
      </c>
      <c r="E15" s="250">
        <v>159.774915</v>
      </c>
      <c r="F15" s="245"/>
      <c r="G15" s="245"/>
      <c r="H15" s="245"/>
      <c r="I15" s="245"/>
      <c r="K15" s="11" t="s">
        <v>457</v>
      </c>
      <c r="O15" s="114">
        <f>+Buyer_Shares+O13</f>
        <v>162.32496449517</v>
      </c>
    </row>
    <row r="16" outlineLevel="1" spans="2:9">
      <c r="B16" s="245"/>
      <c r="D16" s="248"/>
      <c r="E16" s="245"/>
      <c r="F16" s="245"/>
      <c r="G16" s="245"/>
      <c r="H16" s="245"/>
      <c r="I16" s="245"/>
    </row>
    <row r="17" outlineLevel="1" spans="2:9">
      <c r="B17" s="245"/>
      <c r="C17" s="11" t="s">
        <v>458</v>
      </c>
      <c r="D17" s="736" t="s">
        <v>56</v>
      </c>
      <c r="E17" s="320">
        <f>AVERAGE(-F57/F56,-G57/G56,-H57/H56,-I57/I56,-J57/J56)</f>
        <v>0.0281057817081527</v>
      </c>
      <c r="F17" s="245"/>
      <c r="G17" s="245"/>
      <c r="H17" s="245"/>
      <c r="I17" s="245"/>
    </row>
    <row r="18" outlineLevel="1" spans="2:15">
      <c r="B18" s="245"/>
      <c r="C18" s="11" t="s">
        <v>459</v>
      </c>
      <c r="D18" s="181" t="s">
        <v>460</v>
      </c>
      <c r="E18" s="356">
        <v>4</v>
      </c>
      <c r="F18" s="245"/>
      <c r="G18" s="245"/>
      <c r="H18" s="245"/>
      <c r="I18" s="245"/>
      <c r="K18" s="286" t="s">
        <v>410</v>
      </c>
      <c r="L18" s="287"/>
      <c r="M18" s="287"/>
      <c r="N18" s="287"/>
      <c r="O18" s="288">
        <f>+Buyer_Share_Price*Buyer_Diluted_Shares</f>
        <v>19157.59230972</v>
      </c>
    </row>
    <row r="19" outlineLevel="1" spans="2:15">
      <c r="B19" s="245"/>
      <c r="C19" s="4" t="s">
        <v>461</v>
      </c>
      <c r="D19" s="181" t="s">
        <v>460</v>
      </c>
      <c r="E19" s="356">
        <v>12</v>
      </c>
      <c r="F19" s="245"/>
      <c r="G19" s="245"/>
      <c r="H19" s="245"/>
      <c r="I19" s="245"/>
      <c r="K19" s="262" t="s">
        <v>94</v>
      </c>
      <c r="M19" s="181"/>
      <c r="N19" s="181"/>
      <c r="O19" s="289">
        <f>-J117</f>
        <v>-25.3969999999995</v>
      </c>
    </row>
    <row r="20" outlineLevel="1" spans="2:15">
      <c r="B20" s="245"/>
      <c r="C20" s="245" t="s">
        <v>462</v>
      </c>
      <c r="D20" s="246" t="s">
        <v>460</v>
      </c>
      <c r="E20" s="357">
        <v>1000</v>
      </c>
      <c r="F20" s="245"/>
      <c r="G20" s="245"/>
      <c r="H20" s="245"/>
      <c r="I20" s="245"/>
      <c r="K20" s="51" t="s">
        <v>98</v>
      </c>
      <c r="O20" s="274">
        <f>-J121</f>
        <v>-112.856</v>
      </c>
    </row>
    <row r="21" outlineLevel="1" spans="2:15">
      <c r="B21" s="245"/>
      <c r="C21" s="245" t="s">
        <v>463</v>
      </c>
      <c r="D21" s="736" t="s">
        <v>56</v>
      </c>
      <c r="E21" s="182">
        <v>0.1</v>
      </c>
      <c r="F21" s="245"/>
      <c r="G21" s="245"/>
      <c r="H21" s="245"/>
      <c r="I21" s="245"/>
      <c r="K21" s="262" t="s">
        <v>100</v>
      </c>
      <c r="L21" s="245"/>
      <c r="M21" s="245"/>
      <c r="N21" s="245"/>
      <c r="O21" s="290">
        <f>+J128</f>
        <v>6201.329</v>
      </c>
    </row>
    <row r="22" outlineLevel="1" spans="2:15">
      <c r="B22" s="245"/>
      <c r="C22" s="245"/>
      <c r="D22" s="248"/>
      <c r="E22" s="245"/>
      <c r="F22" s="245"/>
      <c r="G22" s="245"/>
      <c r="H22" s="245"/>
      <c r="I22" s="245"/>
      <c r="K22" s="262" t="s">
        <v>103</v>
      </c>
      <c r="O22" s="290">
        <f>+J134</f>
        <v>1012.961</v>
      </c>
    </row>
    <row r="23" outlineLevel="1" spans="2:15">
      <c r="B23" s="245"/>
      <c r="C23" s="245" t="s">
        <v>464</v>
      </c>
      <c r="D23" s="736" t="s">
        <v>56</v>
      </c>
      <c r="E23" s="182">
        <v>0.9</v>
      </c>
      <c r="F23" s="245"/>
      <c r="G23" s="245"/>
      <c r="H23" s="245"/>
      <c r="I23" s="245"/>
      <c r="K23" s="262" t="s">
        <v>105</v>
      </c>
      <c r="L23" s="245"/>
      <c r="M23" s="245"/>
      <c r="N23" s="245"/>
      <c r="O23" s="290">
        <f>+J136</f>
        <v>6.573</v>
      </c>
    </row>
    <row r="24" outlineLevel="1" spans="2:15">
      <c r="B24" s="245"/>
      <c r="C24" s="245" t="s">
        <v>465</v>
      </c>
      <c r="D24" s="736" t="s">
        <v>56</v>
      </c>
      <c r="E24" s="251">
        <f>1-Buyer_Pct_Debt</f>
        <v>0.1</v>
      </c>
      <c r="F24" s="245"/>
      <c r="G24" s="245"/>
      <c r="H24" s="245"/>
      <c r="I24" s="245"/>
      <c r="K24" s="292" t="s">
        <v>411</v>
      </c>
      <c r="L24" s="293"/>
      <c r="M24" s="293"/>
      <c r="N24" s="293"/>
      <c r="O24" s="294">
        <f>SUM(O18:O23)</f>
        <v>26240.20230972</v>
      </c>
    </row>
    <row r="25" outlineLevel="1" spans="2:13">
      <c r="B25" s="245"/>
      <c r="C25" s="245"/>
      <c r="D25" s="248"/>
      <c r="E25" s="245"/>
      <c r="F25" s="245"/>
      <c r="G25" s="245"/>
      <c r="H25" s="245"/>
      <c r="I25" s="245"/>
      <c r="J25" s="245"/>
      <c r="K25" s="245"/>
      <c r="L25" s="245"/>
      <c r="M25" s="295"/>
    </row>
    <row r="26" outlineLevel="1" spans="2:26">
      <c r="B26" s="252" t="s">
        <v>182</v>
      </c>
      <c r="C26" s="245"/>
      <c r="D26" s="248"/>
      <c r="E26" s="245"/>
      <c r="F26" s="253">
        <f t="shared" ref="F26:U26" si="1">YEAR(F29)</f>
        <v>2016</v>
      </c>
      <c r="G26" s="253">
        <f t="shared" si="1"/>
        <v>2016</v>
      </c>
      <c r="H26" s="253">
        <f t="shared" si="1"/>
        <v>2016</v>
      </c>
      <c r="I26" s="253">
        <f t="shared" si="1"/>
        <v>2016</v>
      </c>
      <c r="J26" s="253">
        <f t="shared" si="1"/>
        <v>2017</v>
      </c>
      <c r="K26" s="253">
        <f t="shared" si="1"/>
        <v>2017</v>
      </c>
      <c r="L26" s="253">
        <f t="shared" si="1"/>
        <v>2017</v>
      </c>
      <c r="M26" s="253">
        <f t="shared" si="1"/>
        <v>2017</v>
      </c>
      <c r="N26" s="253">
        <f t="shared" si="1"/>
        <v>2018</v>
      </c>
      <c r="O26" s="253">
        <f t="shared" si="1"/>
        <v>2018</v>
      </c>
      <c r="P26" s="253">
        <f t="shared" si="1"/>
        <v>2018</v>
      </c>
      <c r="Q26" s="253">
        <f t="shared" si="1"/>
        <v>2018</v>
      </c>
      <c r="R26" s="253">
        <f t="shared" si="1"/>
        <v>2019</v>
      </c>
      <c r="S26" s="253">
        <f t="shared" si="1"/>
        <v>2019</v>
      </c>
      <c r="T26" s="253">
        <f t="shared" si="1"/>
        <v>2019</v>
      </c>
      <c r="U26" s="253">
        <f t="shared" si="1"/>
        <v>2019</v>
      </c>
      <c r="W26" s="253">
        <f t="shared" ref="W26:Z26" si="2">YEAR(W29)</f>
        <v>2016</v>
      </c>
      <c r="X26" s="253">
        <f t="shared" si="2"/>
        <v>2017</v>
      </c>
      <c r="Y26" s="253">
        <f t="shared" si="2"/>
        <v>2018</v>
      </c>
      <c r="Z26" s="253">
        <f t="shared" si="2"/>
        <v>2019</v>
      </c>
    </row>
    <row r="27" spans="2:13">
      <c r="B27" s="245"/>
      <c r="C27" s="245"/>
      <c r="D27" s="248"/>
      <c r="E27" s="245"/>
      <c r="F27" s="245"/>
      <c r="G27" s="245"/>
      <c r="H27" s="245"/>
      <c r="I27" s="245"/>
      <c r="J27" s="245"/>
      <c r="K27" s="245"/>
      <c r="L27" s="245"/>
      <c r="M27" s="295"/>
    </row>
    <row r="28" spans="2:26">
      <c r="B28" s="254"/>
      <c r="C28" s="254"/>
      <c r="D28" s="255"/>
      <c r="E28" s="256"/>
      <c r="F28" s="257" t="s">
        <v>45</v>
      </c>
      <c r="G28" s="257"/>
      <c r="H28" s="257"/>
      <c r="I28" s="257"/>
      <c r="J28" s="296"/>
      <c r="K28" s="297" t="s">
        <v>46</v>
      </c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W28" s="257" t="s">
        <v>45</v>
      </c>
      <c r="X28" s="297" t="s">
        <v>46</v>
      </c>
      <c r="Y28" s="257"/>
      <c r="Z28" s="257"/>
    </row>
    <row r="29" spans="2:26">
      <c r="B29" s="173" t="s">
        <v>186</v>
      </c>
      <c r="C29" s="173"/>
      <c r="D29" s="174" t="str">
        <f>+$D$5</f>
        <v>Units:</v>
      </c>
      <c r="E29" s="175"/>
      <c r="F29" s="258">
        <f>EOMONTH(G29,-Months/Num_Periods)</f>
        <v>42460</v>
      </c>
      <c r="G29" s="259">
        <f>EOMONTH(H29,-Months/Num_Periods)</f>
        <v>42551</v>
      </c>
      <c r="H29" s="260">
        <f>EOMONTH(I29,-Months/Num_Periods)</f>
        <v>42643</v>
      </c>
      <c r="I29" s="298">
        <f>EOMONTH(J29,-Months/Num_Periods)</f>
        <v>42735</v>
      </c>
      <c r="J29" s="258">
        <f>Buyer_MRQ</f>
        <v>42825</v>
      </c>
      <c r="K29" s="299">
        <f>EOMONTH(J29,Months/Num_Periods)</f>
        <v>42916</v>
      </c>
      <c r="L29" s="260">
        <f>EOMONTH(K29,Months/Num_Periods)</f>
        <v>43008</v>
      </c>
      <c r="M29" s="298">
        <f>EOMONTH(L29,Months/Num_Periods)</f>
        <v>43100</v>
      </c>
      <c r="N29" s="258">
        <f>EOMONTH(M29,Months/Num_Periods)</f>
        <v>43190</v>
      </c>
      <c r="O29" s="259">
        <f>EOMONTH(N29,Months/Num_Periods)</f>
        <v>43281</v>
      </c>
      <c r="P29" s="260">
        <f>EOMONTH(O29,Months/Num_Periods)</f>
        <v>43373</v>
      </c>
      <c r="Q29" s="298">
        <f>EOMONTH(P29,Months/Num_Periods)</f>
        <v>43465</v>
      </c>
      <c r="R29" s="258">
        <f>EOMONTH(Q29,Months/Num_Periods)</f>
        <v>43555</v>
      </c>
      <c r="S29" s="259">
        <f>EOMONTH(R29,Months/Num_Periods)</f>
        <v>43646</v>
      </c>
      <c r="T29" s="260">
        <f>EOMONTH(S29,Months/Num_Periods)</f>
        <v>43738</v>
      </c>
      <c r="U29" s="298">
        <f>EOMONTH(T29,Months/Num_Periods)</f>
        <v>43830</v>
      </c>
      <c r="W29" s="313">
        <f>Buyer_Hist_Year</f>
        <v>42735</v>
      </c>
      <c r="X29" s="314">
        <f>EOMONTH(W29,Months)</f>
        <v>43100</v>
      </c>
      <c r="Y29" s="176">
        <f>EOMONTH(X29,Months)</f>
        <v>43465</v>
      </c>
      <c r="Z29" s="176">
        <f>EOMONTH(Y29,Months)</f>
        <v>43830</v>
      </c>
    </row>
    <row r="30" outlineLevel="1" spans="2:13">
      <c r="B30" s="4"/>
      <c r="C30" s="4"/>
      <c r="D30" s="172"/>
      <c r="E30" s="261"/>
      <c r="F30" s="261"/>
      <c r="G30" s="261"/>
      <c r="H30" s="261"/>
      <c r="I30" s="261"/>
      <c r="J30" s="261"/>
      <c r="K30" s="261"/>
      <c r="L30" s="261"/>
      <c r="M30" s="261"/>
    </row>
    <row r="31" outlineLevel="1" spans="2:26">
      <c r="B31" s="4"/>
      <c r="C31" s="126" t="s">
        <v>190</v>
      </c>
      <c r="D31" s="172"/>
      <c r="E31" s="261"/>
      <c r="F31" s="261"/>
      <c r="G31" s="261"/>
      <c r="H31" s="261"/>
      <c r="I31" s="261"/>
      <c r="J31" s="261"/>
      <c r="K31" s="300"/>
      <c r="L31" s="261"/>
      <c r="M31" s="271"/>
      <c r="W31" s="329"/>
      <c r="X31" s="329"/>
      <c r="Y31" s="329"/>
      <c r="Z31" s="329"/>
    </row>
    <row r="32" outlineLevel="1" spans="2:26">
      <c r="B32" s="4"/>
      <c r="C32" s="262" t="s">
        <v>191</v>
      </c>
      <c r="D32" s="181" t="s">
        <v>48</v>
      </c>
      <c r="E32" s="261"/>
      <c r="F32" s="263">
        <v>371.128</v>
      </c>
      <c r="G32" s="263">
        <v>377.109</v>
      </c>
      <c r="H32" s="263">
        <v>395.212</v>
      </c>
      <c r="I32" s="263">
        <v>399.062</v>
      </c>
      <c r="J32" s="263">
        <v>404.126</v>
      </c>
      <c r="K32" s="301">
        <f t="shared" ref="K32:U32" si="3">+G32*(1+K76)</f>
        <v>376.354782</v>
      </c>
      <c r="L32" s="301">
        <f t="shared" si="3"/>
        <v>393.23594</v>
      </c>
      <c r="M32" s="301">
        <f t="shared" si="3"/>
        <v>395.07138</v>
      </c>
      <c r="N32" s="301">
        <f t="shared" si="3"/>
        <v>410.18789</v>
      </c>
      <c r="O32" s="301">
        <f t="shared" si="3"/>
        <v>375.978427218</v>
      </c>
      <c r="P32" s="301">
        <f t="shared" si="3"/>
        <v>392.05623218</v>
      </c>
      <c r="Q32" s="301">
        <f t="shared" si="3"/>
        <v>391.91080896</v>
      </c>
      <c r="R32" s="301">
        <f t="shared" si="3"/>
        <v>415.52033257</v>
      </c>
      <c r="S32" s="301">
        <f t="shared" si="3"/>
        <v>375.602448790782</v>
      </c>
      <c r="T32" s="301">
        <f t="shared" si="3"/>
        <v>390.88006348346</v>
      </c>
      <c r="U32" s="301">
        <f t="shared" si="3"/>
        <v>389.55934410624</v>
      </c>
      <c r="W32" s="301">
        <f t="shared" ref="W32:Z32" si="4">SUMIF($F$26:$U$26,W$26,$F32:$U32)</f>
        <v>1542.511</v>
      </c>
      <c r="X32" s="301">
        <f t="shared" si="4"/>
        <v>1568.788102</v>
      </c>
      <c r="Y32" s="301">
        <f t="shared" si="4"/>
        <v>1570.133358358</v>
      </c>
      <c r="Z32" s="301">
        <f t="shared" si="4"/>
        <v>1571.56218895048</v>
      </c>
    </row>
    <row r="33" outlineLevel="1" spans="2:26">
      <c r="B33" s="4"/>
      <c r="C33" s="262" t="s">
        <v>192</v>
      </c>
      <c r="D33" s="181" t="s">
        <v>48</v>
      </c>
      <c r="E33" s="261"/>
      <c r="F33" s="264">
        <v>0</v>
      </c>
      <c r="G33" s="264">
        <v>0</v>
      </c>
      <c r="H33" s="264">
        <v>0</v>
      </c>
      <c r="I33" s="264">
        <v>0</v>
      </c>
      <c r="J33" s="264">
        <v>0</v>
      </c>
      <c r="K33" s="302">
        <f>SUM($K91:K91)</f>
        <v>8.33912439193885</v>
      </c>
      <c r="L33" s="302">
        <f>SUM($K91:L91)</f>
        <v>17.3769441917164</v>
      </c>
      <c r="M33" s="302">
        <f>SUM($K91:M91)</f>
        <v>27.399853699162</v>
      </c>
      <c r="N33" s="302">
        <f>SUM($K91:N91)</f>
        <v>37.7844690837774</v>
      </c>
      <c r="O33" s="302">
        <f>SUM($K91:O91)</f>
        <v>51.5440243304764</v>
      </c>
      <c r="P33" s="302">
        <f>SUM($K91:P91)</f>
        <v>65.3093191024453</v>
      </c>
      <c r="Q33" s="302">
        <f>SUM($K91:Q91)</f>
        <v>79.4845768344041</v>
      </c>
      <c r="R33" s="302">
        <f>SUM($K91:R91)</f>
        <v>95.42863277846</v>
      </c>
      <c r="S33" s="302">
        <f>SUM($K91:S91)</f>
        <v>111.272969123144</v>
      </c>
      <c r="T33" s="302">
        <f>SUM($K91:T91)</f>
        <v>127.958174907348</v>
      </c>
      <c r="U33" s="302">
        <f>SUM($K91:U91)</f>
        <v>145.140305491541</v>
      </c>
      <c r="W33" s="302">
        <f t="shared" ref="W33:Z33" si="5">SUMIF($F$26:$U$26,W$26,$F33:$U33)</f>
        <v>0</v>
      </c>
      <c r="X33" s="302">
        <f t="shared" si="5"/>
        <v>53.1159222828172</v>
      </c>
      <c r="Y33" s="302">
        <f t="shared" si="5"/>
        <v>234.122389351103</v>
      </c>
      <c r="Z33" s="302">
        <f t="shared" si="5"/>
        <v>479.800082300493</v>
      </c>
    </row>
    <row r="34" outlineLevel="1" spans="2:26">
      <c r="B34" s="4"/>
      <c r="C34" s="262" t="s">
        <v>195</v>
      </c>
      <c r="D34" s="181" t="s">
        <v>48</v>
      </c>
      <c r="E34" s="261"/>
      <c r="F34" s="264">
        <v>84.218</v>
      </c>
      <c r="G34" s="264">
        <v>88.211</v>
      </c>
      <c r="H34" s="264">
        <v>95.665</v>
      </c>
      <c r="I34" s="264">
        <v>87.809</v>
      </c>
      <c r="J34" s="264">
        <v>87.288</v>
      </c>
      <c r="K34" s="302">
        <f t="shared" ref="K34:U34" si="6">-K42*K78</f>
        <v>86.373422469</v>
      </c>
      <c r="L34" s="302">
        <f t="shared" si="6"/>
        <v>94.062036848</v>
      </c>
      <c r="M34" s="302">
        <f t="shared" si="6"/>
        <v>86.283589392</v>
      </c>
      <c r="N34" s="302">
        <f t="shared" si="6"/>
        <v>88.19039635</v>
      </c>
      <c r="O34" s="302">
        <f t="shared" si="6"/>
        <v>86.287049046531</v>
      </c>
      <c r="P34" s="302">
        <f t="shared" si="6"/>
        <v>93.779850737456</v>
      </c>
      <c r="Q34" s="302">
        <f t="shared" si="6"/>
        <v>85.593320676864</v>
      </c>
      <c r="R34" s="302">
        <f t="shared" si="6"/>
        <v>89.33687150255</v>
      </c>
      <c r="S34" s="302">
        <f t="shared" si="6"/>
        <v>86.2007619974845</v>
      </c>
      <c r="T34" s="302">
        <f t="shared" si="6"/>
        <v>93.4985111852436</v>
      </c>
      <c r="U34" s="302">
        <f t="shared" si="6"/>
        <v>85.0797607528028</v>
      </c>
      <c r="W34" s="302">
        <f t="shared" ref="W34:Z34" si="7">SUMIF($F$26:$U$26,W$26,$F34:$U34)</f>
        <v>355.903</v>
      </c>
      <c r="X34" s="302">
        <f t="shared" si="7"/>
        <v>354.007048709</v>
      </c>
      <c r="Y34" s="302">
        <f t="shared" si="7"/>
        <v>353.850616810851</v>
      </c>
      <c r="Z34" s="302">
        <f t="shared" si="7"/>
        <v>354.115905438081</v>
      </c>
    </row>
    <row r="35" outlineLevel="1" spans="2:26">
      <c r="B35" s="4"/>
      <c r="C35" s="262" t="s">
        <v>196</v>
      </c>
      <c r="D35" s="181" t="s">
        <v>48</v>
      </c>
      <c r="E35" s="261"/>
      <c r="F35" s="264">
        <v>0</v>
      </c>
      <c r="G35" s="264">
        <v>0</v>
      </c>
      <c r="H35" s="264">
        <v>0</v>
      </c>
      <c r="I35" s="264">
        <v>0</v>
      </c>
      <c r="J35" s="264">
        <v>0</v>
      </c>
      <c r="K35" s="302">
        <f>SUM($K90:K90)</f>
        <v>1.91382904794997</v>
      </c>
      <c r="L35" s="302">
        <f>SUM($K90:L90)</f>
        <v>4.07567554405675</v>
      </c>
      <c r="M35" s="302">
        <f>SUM($K90:M90)</f>
        <v>6.26467898048287</v>
      </c>
      <c r="N35" s="302">
        <f>SUM($K90:N90)</f>
        <v>8.49737128817517</v>
      </c>
      <c r="O35" s="302">
        <f>SUM($K90:O90)</f>
        <v>11.6551892172926</v>
      </c>
      <c r="P35" s="302">
        <f>SUM($K90:P90)</f>
        <v>14.9478477267476</v>
      </c>
      <c r="Q35" s="302">
        <f>SUM($K90:Q90)</f>
        <v>18.0437240154074</v>
      </c>
      <c r="R35" s="302">
        <f>SUM($K90:R90)</f>
        <v>21.4716960433794</v>
      </c>
      <c r="S35" s="302">
        <f>SUM($K90:S90)</f>
        <v>25.1079712344843</v>
      </c>
      <c r="T35" s="302">
        <f>SUM($K90:T90)</f>
        <v>29.0990724580661</v>
      </c>
      <c r="U35" s="302">
        <f>SUM($K90:U90)</f>
        <v>32.8516497776537</v>
      </c>
      <c r="W35" s="302">
        <f t="shared" ref="W35:Z35" si="8">SUMIF($F$26:$U$26,W$26,$F35:$U35)</f>
        <v>0</v>
      </c>
      <c r="X35" s="302">
        <f t="shared" si="8"/>
        <v>12.2541835724896</v>
      </c>
      <c r="Y35" s="302">
        <f t="shared" si="8"/>
        <v>53.1441322476227</v>
      </c>
      <c r="Z35" s="302">
        <f t="shared" si="8"/>
        <v>108.530389513584</v>
      </c>
    </row>
    <row r="36" outlineLevel="1" spans="2:26">
      <c r="B36" s="4"/>
      <c r="C36" s="262" t="s">
        <v>197</v>
      </c>
      <c r="D36" s="181" t="s">
        <v>48</v>
      </c>
      <c r="E36" s="261"/>
      <c r="F36" s="264">
        <v>1.799</v>
      </c>
      <c r="G36" s="264">
        <v>1.251</v>
      </c>
      <c r="H36" s="264">
        <v>1.517</v>
      </c>
      <c r="I36" s="264">
        <v>1.718</v>
      </c>
      <c r="J36" s="264">
        <v>1.895</v>
      </c>
      <c r="K36" s="302">
        <f t="shared" ref="K36:U36" si="9">+K93*SUM(K32:K33)</f>
        <v>1.15408171917582</v>
      </c>
      <c r="L36" s="302">
        <f t="shared" si="9"/>
        <v>1.64245153676687</v>
      </c>
      <c r="M36" s="302">
        <f t="shared" si="9"/>
        <v>1.68988493479665</v>
      </c>
      <c r="N36" s="302">
        <f t="shared" si="9"/>
        <v>2.23986179541889</v>
      </c>
      <c r="O36" s="302">
        <f t="shared" si="9"/>
        <v>1.28256735464543</v>
      </c>
      <c r="P36" s="302">
        <f t="shared" si="9"/>
        <v>1.82946220512978</v>
      </c>
      <c r="Q36" s="302">
        <f t="shared" si="9"/>
        <v>1.88558154317762</v>
      </c>
      <c r="R36" s="302">
        <f t="shared" si="9"/>
        <v>2.5547448267423</v>
      </c>
      <c r="S36" s="302">
        <f t="shared" si="9"/>
        <v>1.46062625374178</v>
      </c>
      <c r="T36" s="302">
        <f t="shared" si="9"/>
        <v>2.07535295356323</v>
      </c>
      <c r="U36" s="302">
        <f t="shared" si="9"/>
        <v>2.13879859839112</v>
      </c>
      <c r="W36" s="302">
        <f t="shared" ref="W36:Z36" si="10">SUMIF($F$26:$U$26,W$26,$F36:$U36)</f>
        <v>6.285</v>
      </c>
      <c r="X36" s="302">
        <f t="shared" si="10"/>
        <v>6.38141819073933</v>
      </c>
      <c r="Y36" s="302">
        <f t="shared" si="10"/>
        <v>7.23747289837171</v>
      </c>
      <c r="Z36" s="302">
        <f t="shared" si="10"/>
        <v>8.22952263243844</v>
      </c>
    </row>
    <row r="37" outlineLevel="1" spans="2:26">
      <c r="B37" s="4"/>
      <c r="C37" s="262" t="s">
        <v>198</v>
      </c>
      <c r="D37" s="181" t="s">
        <v>48</v>
      </c>
      <c r="E37" s="261"/>
      <c r="F37" s="264">
        <v>46.963</v>
      </c>
      <c r="G37" s="264">
        <v>48.363</v>
      </c>
      <c r="H37" s="264">
        <v>53.897</v>
      </c>
      <c r="I37" s="264">
        <v>55.094</v>
      </c>
      <c r="J37" s="264">
        <v>57.225</v>
      </c>
      <c r="K37" s="302">
        <f t="shared" ref="K37:U37" si="11">+G37*(1+K94)</f>
        <v>55.61745</v>
      </c>
      <c r="L37" s="302">
        <f t="shared" si="11"/>
        <v>61.98155</v>
      </c>
      <c r="M37" s="302">
        <f t="shared" si="11"/>
        <v>61.98075</v>
      </c>
      <c r="N37" s="302">
        <f t="shared" si="11"/>
        <v>64.378125</v>
      </c>
      <c r="O37" s="302">
        <f t="shared" si="11"/>
        <v>61.179195</v>
      </c>
      <c r="P37" s="302">
        <f t="shared" si="11"/>
        <v>68.179705</v>
      </c>
      <c r="Q37" s="302">
        <f t="shared" si="11"/>
        <v>66.62930625</v>
      </c>
      <c r="R37" s="302">
        <f t="shared" si="11"/>
        <v>69.206484375</v>
      </c>
      <c r="S37" s="302">
        <f t="shared" si="11"/>
        <v>64.23815475</v>
      </c>
      <c r="T37" s="302">
        <f t="shared" si="11"/>
        <v>71.58869025</v>
      </c>
      <c r="U37" s="302">
        <f t="shared" si="11"/>
        <v>69.9607715625</v>
      </c>
      <c r="W37" s="302">
        <f t="shared" ref="W37:Z37" si="12">SUMIF($F$26:$U$26,W$26,$F37:$U37)</f>
        <v>204.317</v>
      </c>
      <c r="X37" s="302">
        <f t="shared" si="12"/>
        <v>236.80475</v>
      </c>
      <c r="Y37" s="302">
        <f t="shared" si="12"/>
        <v>260.36633125</v>
      </c>
      <c r="Z37" s="302">
        <f t="shared" si="12"/>
        <v>274.9941009375</v>
      </c>
    </row>
    <row r="38" outlineLevel="1" spans="2:26">
      <c r="B38" s="4"/>
      <c r="C38" s="265" t="s">
        <v>199</v>
      </c>
      <c r="D38" s="200" t="s">
        <v>48</v>
      </c>
      <c r="E38" s="266"/>
      <c r="F38" s="267">
        <v>0.091</v>
      </c>
      <c r="G38" s="267">
        <v>0</v>
      </c>
      <c r="H38" s="267">
        <v>0.002</v>
      </c>
      <c r="I38" s="267">
        <v>33.104</v>
      </c>
      <c r="J38" s="267">
        <v>0.035</v>
      </c>
      <c r="K38" s="358">
        <v>0</v>
      </c>
      <c r="L38" s="359">
        <f t="shared" ref="L38:U38" si="13">+K38</f>
        <v>0</v>
      </c>
      <c r="M38" s="359">
        <f t="shared" si="13"/>
        <v>0</v>
      </c>
      <c r="N38" s="359">
        <f t="shared" si="13"/>
        <v>0</v>
      </c>
      <c r="O38" s="360">
        <f t="shared" si="13"/>
        <v>0</v>
      </c>
      <c r="P38" s="360">
        <f t="shared" si="13"/>
        <v>0</v>
      </c>
      <c r="Q38" s="360">
        <f t="shared" si="13"/>
        <v>0</v>
      </c>
      <c r="R38" s="360">
        <f t="shared" si="13"/>
        <v>0</v>
      </c>
      <c r="S38" s="360">
        <f t="shared" si="13"/>
        <v>0</v>
      </c>
      <c r="T38" s="360">
        <f t="shared" si="13"/>
        <v>0</v>
      </c>
      <c r="U38" s="360">
        <f t="shared" si="13"/>
        <v>0</v>
      </c>
      <c r="W38" s="303">
        <f t="shared" ref="W38:Z38" si="14">SUMIF($F$26:$U$26,W$26,$F38:$U38)</f>
        <v>33.197</v>
      </c>
      <c r="X38" s="303">
        <f t="shared" si="14"/>
        <v>0.035</v>
      </c>
      <c r="Y38" s="303">
        <f t="shared" si="14"/>
        <v>0</v>
      </c>
      <c r="Z38" s="303">
        <f t="shared" si="14"/>
        <v>0</v>
      </c>
    </row>
    <row r="39" outlineLevel="1" spans="2:26">
      <c r="B39" s="4"/>
      <c r="C39" s="268" t="s">
        <v>200</v>
      </c>
      <c r="D39" s="181" t="s">
        <v>48</v>
      </c>
      <c r="E39" s="261"/>
      <c r="F39" s="269">
        <f t="shared" ref="F39:U39" si="15">SUM(F32:F38)</f>
        <v>504.199</v>
      </c>
      <c r="G39" s="269">
        <f t="shared" si="15"/>
        <v>514.934</v>
      </c>
      <c r="H39" s="269">
        <f t="shared" si="15"/>
        <v>546.293</v>
      </c>
      <c r="I39" s="269">
        <f t="shared" si="15"/>
        <v>576.787</v>
      </c>
      <c r="J39" s="269">
        <f t="shared" si="15"/>
        <v>550.569</v>
      </c>
      <c r="K39" s="269">
        <f t="shared" si="15"/>
        <v>529.752689628065</v>
      </c>
      <c r="L39" s="269">
        <f t="shared" si="15"/>
        <v>572.37459812054</v>
      </c>
      <c r="M39" s="269">
        <f t="shared" si="15"/>
        <v>578.690137006442</v>
      </c>
      <c r="N39" s="269">
        <f t="shared" si="15"/>
        <v>611.278113517371</v>
      </c>
      <c r="O39" s="269">
        <f t="shared" si="15"/>
        <v>587.926452166946</v>
      </c>
      <c r="P39" s="269">
        <f t="shared" si="15"/>
        <v>636.102416951779</v>
      </c>
      <c r="Q39" s="269">
        <f t="shared" si="15"/>
        <v>643.547318279853</v>
      </c>
      <c r="R39" s="269">
        <f t="shared" si="15"/>
        <v>693.518762096132</v>
      </c>
      <c r="S39" s="269">
        <f t="shared" si="15"/>
        <v>663.882932149636</v>
      </c>
      <c r="T39" s="269">
        <f t="shared" si="15"/>
        <v>715.099865237681</v>
      </c>
      <c r="U39" s="269">
        <f t="shared" si="15"/>
        <v>724.730630289129</v>
      </c>
      <c r="W39" s="269">
        <f t="shared" ref="W39:Z39" si="16">SUM(W32:W38)</f>
        <v>2142.213</v>
      </c>
      <c r="X39" s="269">
        <f t="shared" si="16"/>
        <v>2231.38642475505</v>
      </c>
      <c r="Y39" s="269">
        <f t="shared" si="16"/>
        <v>2478.85430091595</v>
      </c>
      <c r="Z39" s="269">
        <f t="shared" si="16"/>
        <v>2797.23218977258</v>
      </c>
    </row>
    <row r="40" outlineLevel="1" spans="2:14">
      <c r="B40" s="4"/>
      <c r="C40" s="4"/>
      <c r="D40" s="172"/>
      <c r="E40" s="261"/>
      <c r="F40" s="270"/>
      <c r="G40" s="261"/>
      <c r="H40" s="261"/>
      <c r="I40" s="264"/>
      <c r="J40" s="261"/>
      <c r="K40" s="305"/>
      <c r="L40" s="261"/>
      <c r="M40" s="261"/>
      <c r="N40" s="261"/>
    </row>
    <row r="41" outlineLevel="1" spans="2:14">
      <c r="B41" s="4"/>
      <c r="C41" s="126" t="s">
        <v>201</v>
      </c>
      <c r="D41" s="172"/>
      <c r="E41" s="261"/>
      <c r="F41" s="271"/>
      <c r="G41" s="271"/>
      <c r="H41" s="271"/>
      <c r="I41" s="271"/>
      <c r="J41" s="271"/>
      <c r="K41" s="261"/>
      <c r="L41" s="261"/>
      <c r="M41" s="261"/>
      <c r="N41" s="261"/>
    </row>
    <row r="42" outlineLevel="1" spans="2:26">
      <c r="B42" s="4"/>
      <c r="C42" s="262" t="s">
        <v>202</v>
      </c>
      <c r="D42" s="181" t="s">
        <v>48</v>
      </c>
      <c r="E42" s="4"/>
      <c r="F42" s="264">
        <v>-185.811</v>
      </c>
      <c r="G42" s="264">
        <v>-192.853</v>
      </c>
      <c r="H42" s="264">
        <v>-206.297</v>
      </c>
      <c r="I42" s="264">
        <v>-207.695</v>
      </c>
      <c r="J42" s="264">
        <v>-202.173</v>
      </c>
      <c r="K42" s="302">
        <f t="shared" ref="K42:U42" si="17">-K32*K77</f>
        <v>-191.94093882</v>
      </c>
      <c r="L42" s="302">
        <f t="shared" si="17"/>
        <v>-204.4826888</v>
      </c>
      <c r="M42" s="302">
        <f t="shared" si="17"/>
        <v>-205.4371176</v>
      </c>
      <c r="N42" s="302">
        <f t="shared" si="17"/>
        <v>-205.093945</v>
      </c>
      <c r="O42" s="302">
        <f t="shared" si="17"/>
        <v>-191.74899788118</v>
      </c>
      <c r="P42" s="302">
        <f t="shared" si="17"/>
        <v>-203.8692407336</v>
      </c>
      <c r="Q42" s="302">
        <f t="shared" si="17"/>
        <v>-203.7936206592</v>
      </c>
      <c r="R42" s="302">
        <f t="shared" si="17"/>
        <v>-207.760166285</v>
      </c>
      <c r="S42" s="302">
        <f t="shared" si="17"/>
        <v>-191.557248883299</v>
      </c>
      <c r="T42" s="302">
        <f t="shared" si="17"/>
        <v>-203.257633011399</v>
      </c>
      <c r="U42" s="302">
        <f t="shared" si="17"/>
        <v>-202.570858935245</v>
      </c>
      <c r="W42" s="302">
        <f t="shared" ref="W42:Z42" si="18">SUMIF($F$26:$U$26,W$26,$F42:$U42)</f>
        <v>-792.656</v>
      </c>
      <c r="X42" s="302">
        <f t="shared" si="18"/>
        <v>-804.03374522</v>
      </c>
      <c r="Y42" s="302">
        <f t="shared" si="18"/>
        <v>-804.50580427398</v>
      </c>
      <c r="Z42" s="302">
        <f t="shared" si="18"/>
        <v>-805.145907114943</v>
      </c>
    </row>
    <row r="43" outlineLevel="1" spans="2:26">
      <c r="B43" s="4"/>
      <c r="C43" s="262" t="s">
        <v>203</v>
      </c>
      <c r="D43" s="181" t="s">
        <v>48</v>
      </c>
      <c r="E43" s="4"/>
      <c r="F43" s="264">
        <v>0</v>
      </c>
      <c r="G43" s="264">
        <v>0</v>
      </c>
      <c r="H43" s="264">
        <v>0</v>
      </c>
      <c r="I43" s="264">
        <v>0</v>
      </c>
      <c r="J43" s="264">
        <v>0</v>
      </c>
      <c r="K43" s="302">
        <f>-SUM($K89:K89)</f>
        <v>-4.25295343988881</v>
      </c>
      <c r="L43" s="302">
        <f>-SUM($K89:L89)</f>
        <v>-8.95261973577313</v>
      </c>
      <c r="M43" s="302">
        <f>-SUM($K89:M89)</f>
        <v>-14.1645326796448</v>
      </c>
      <c r="N43" s="302">
        <f>-SUM($K89:N89)</f>
        <v>-19.3568403719525</v>
      </c>
      <c r="O43" s="302">
        <f>-SUM($K89:O89)</f>
        <v>-26.3742135477691</v>
      </c>
      <c r="P43" s="302">
        <f>-SUM($K89:P89)</f>
        <v>-33.5321668291929</v>
      </c>
      <c r="Q43" s="302">
        <f>-SUM($K89:Q89)</f>
        <v>-40.9033008498114</v>
      </c>
      <c r="R43" s="302">
        <f>-SUM($K89:R89)</f>
        <v>-48.8753288218394</v>
      </c>
      <c r="S43" s="302">
        <f>-SUM($K89:S89)</f>
        <v>-56.9559403576282</v>
      </c>
      <c r="T43" s="302">
        <f>-SUM($K89:T89)</f>
        <v>-65.6322473654146</v>
      </c>
      <c r="U43" s="302">
        <f>-SUM($K89:U89)</f>
        <v>-74.5669552691947</v>
      </c>
      <c r="W43" s="302">
        <f t="shared" ref="W43:Z43" si="19">SUMIF($F$26:$U$26,W$26,$F43:$U43)</f>
        <v>0</v>
      </c>
      <c r="X43" s="302">
        <f t="shared" si="19"/>
        <v>-27.3701058553068</v>
      </c>
      <c r="Y43" s="302">
        <f t="shared" si="19"/>
        <v>-120.166521598726</v>
      </c>
      <c r="Z43" s="302">
        <f t="shared" si="19"/>
        <v>-246.030471814077</v>
      </c>
    </row>
    <row r="44" outlineLevel="1" spans="2:26">
      <c r="B44" s="4"/>
      <c r="C44" s="262" t="s">
        <v>208</v>
      </c>
      <c r="D44" s="181" t="s">
        <v>48</v>
      </c>
      <c r="E44" s="4"/>
      <c r="F44" s="264">
        <v>-31.256</v>
      </c>
      <c r="G44" s="264">
        <v>-34.189</v>
      </c>
      <c r="H44" s="264">
        <v>-46.135</v>
      </c>
      <c r="I44" s="264">
        <v>-41.153</v>
      </c>
      <c r="J44" s="264">
        <v>-34.647</v>
      </c>
      <c r="K44" s="302">
        <f t="shared" ref="K44:U44" si="20">-K96*K$39</f>
        <v>-34.4339248258242</v>
      </c>
      <c r="L44" s="302">
        <f t="shared" si="20"/>
        <v>-45.7899678496432</v>
      </c>
      <c r="M44" s="302">
        <f t="shared" si="20"/>
        <v>-40.5083095904509</v>
      </c>
      <c r="N44" s="302">
        <f t="shared" si="20"/>
        <v>-36.6766868110423</v>
      </c>
      <c r="O44" s="302">
        <f t="shared" si="20"/>
        <v>-38.2152193908515</v>
      </c>
      <c r="P44" s="302">
        <f t="shared" si="20"/>
        <v>-50.8881933561423</v>
      </c>
      <c r="Q44" s="302">
        <f t="shared" si="20"/>
        <v>-45.0483122795897</v>
      </c>
      <c r="R44" s="302">
        <f t="shared" si="20"/>
        <v>-41.6111257257679</v>
      </c>
      <c r="S44" s="302">
        <f t="shared" si="20"/>
        <v>-43.1523905897264</v>
      </c>
      <c r="T44" s="302">
        <f t="shared" si="20"/>
        <v>-57.2079892190145</v>
      </c>
      <c r="U44" s="302">
        <f t="shared" si="20"/>
        <v>-50.731144120239</v>
      </c>
      <c r="W44" s="302">
        <f t="shared" ref="W44:Z44" si="21">SUMIF($F$26:$U$26,W$26,$F44:$U44)</f>
        <v>-152.733</v>
      </c>
      <c r="X44" s="302">
        <f t="shared" si="21"/>
        <v>-155.379202265918</v>
      </c>
      <c r="Y44" s="302">
        <f t="shared" si="21"/>
        <v>-170.828411837626</v>
      </c>
      <c r="Z44" s="302">
        <f t="shared" si="21"/>
        <v>-192.702649654748</v>
      </c>
    </row>
    <row r="45" outlineLevel="1" spans="3:26">
      <c r="C45" s="262" t="s">
        <v>209</v>
      </c>
      <c r="D45" s="181" t="s">
        <v>48</v>
      </c>
      <c r="F45" s="264">
        <v>-169.016</v>
      </c>
      <c r="G45" s="264">
        <v>-175.594</v>
      </c>
      <c r="H45" s="264">
        <v>-178.133</v>
      </c>
      <c r="I45" s="264">
        <v>-176.581</v>
      </c>
      <c r="J45" s="264">
        <v>-176.466</v>
      </c>
      <c r="K45" s="302">
        <f t="shared" ref="K45:U45" si="22">-K97*K$39</f>
        <v>-180.115914473542</v>
      </c>
      <c r="L45" s="302">
        <f t="shared" si="22"/>
        <v>-188.883617379778</v>
      </c>
      <c r="M45" s="302">
        <f t="shared" si="22"/>
        <v>-179.393942471997</v>
      </c>
      <c r="N45" s="302">
        <f t="shared" si="22"/>
        <v>-198.665386893146</v>
      </c>
      <c r="O45" s="302">
        <f t="shared" si="22"/>
        <v>-199.894993736762</v>
      </c>
      <c r="P45" s="302">
        <f t="shared" si="22"/>
        <v>-209.913797594087</v>
      </c>
      <c r="Q45" s="302">
        <f t="shared" si="22"/>
        <v>-199.499668666754</v>
      </c>
      <c r="R45" s="302">
        <f t="shared" si="22"/>
        <v>-225.393597681243</v>
      </c>
      <c r="S45" s="302">
        <f t="shared" si="22"/>
        <v>-225.720196930876</v>
      </c>
      <c r="T45" s="302">
        <f t="shared" si="22"/>
        <v>-235.982955528435</v>
      </c>
      <c r="U45" s="302">
        <f t="shared" si="22"/>
        <v>-224.66649538963</v>
      </c>
      <c r="W45" s="302">
        <f t="shared" ref="W45:Z45" si="23">SUMIF($F$26:$U$26,W$26,$F45:$U45)</f>
        <v>-699.324</v>
      </c>
      <c r="X45" s="302">
        <f t="shared" si="23"/>
        <v>-724.859474325317</v>
      </c>
      <c r="Y45" s="302">
        <f t="shared" si="23"/>
        <v>-807.973846890749</v>
      </c>
      <c r="Z45" s="302">
        <f t="shared" si="23"/>
        <v>-911.763245530184</v>
      </c>
    </row>
    <row r="46" outlineLevel="1" spans="3:26">
      <c r="C46" s="262" t="s">
        <v>210</v>
      </c>
      <c r="D46" s="200" t="s">
        <v>48</v>
      </c>
      <c r="F46" s="264">
        <v>0</v>
      </c>
      <c r="G46" s="264">
        <v>0</v>
      </c>
      <c r="H46" s="264">
        <v>0.022</v>
      </c>
      <c r="I46" s="264">
        <v>-0.236</v>
      </c>
      <c r="J46" s="264">
        <v>0</v>
      </c>
      <c r="K46" s="358">
        <v>0</v>
      </c>
      <c r="L46" s="359">
        <f t="shared" ref="L46:U46" si="24">+K46</f>
        <v>0</v>
      </c>
      <c r="M46" s="359">
        <f t="shared" si="24"/>
        <v>0</v>
      </c>
      <c r="N46" s="359">
        <f t="shared" si="24"/>
        <v>0</v>
      </c>
      <c r="O46" s="360">
        <f t="shared" si="24"/>
        <v>0</v>
      </c>
      <c r="P46" s="360">
        <f t="shared" si="24"/>
        <v>0</v>
      </c>
      <c r="Q46" s="360">
        <f t="shared" si="24"/>
        <v>0</v>
      </c>
      <c r="R46" s="360">
        <f t="shared" si="24"/>
        <v>0</v>
      </c>
      <c r="S46" s="360">
        <f t="shared" si="24"/>
        <v>0</v>
      </c>
      <c r="T46" s="360">
        <f t="shared" si="24"/>
        <v>0</v>
      </c>
      <c r="U46" s="360">
        <f t="shared" si="24"/>
        <v>0</v>
      </c>
      <c r="W46" s="303">
        <f t="shared" ref="W46:Z46" si="25">SUMIF($F$26:$U$26,W$26,$F46:$U46)</f>
        <v>-0.214</v>
      </c>
      <c r="X46" s="303">
        <f t="shared" si="25"/>
        <v>0</v>
      </c>
      <c r="Y46" s="303">
        <f t="shared" si="25"/>
        <v>0</v>
      </c>
      <c r="Z46" s="303">
        <f t="shared" si="25"/>
        <v>0</v>
      </c>
    </row>
    <row r="47" outlineLevel="1" spans="3:26">
      <c r="C47" s="189" t="s">
        <v>211</v>
      </c>
      <c r="D47" s="181" t="s">
        <v>48</v>
      </c>
      <c r="E47" s="212"/>
      <c r="F47" s="272">
        <f t="shared" ref="F47:U47" si="26">SUM(F42:F46)</f>
        <v>-386.083</v>
      </c>
      <c r="G47" s="272">
        <f t="shared" si="26"/>
        <v>-402.636</v>
      </c>
      <c r="H47" s="272">
        <f t="shared" si="26"/>
        <v>-430.543</v>
      </c>
      <c r="I47" s="272">
        <f t="shared" si="26"/>
        <v>-425.665</v>
      </c>
      <c r="J47" s="272">
        <f t="shared" si="26"/>
        <v>-413.286</v>
      </c>
      <c r="K47" s="272">
        <f t="shared" si="26"/>
        <v>-410.743731559255</v>
      </c>
      <c r="L47" s="272">
        <f t="shared" si="26"/>
        <v>-448.108893765195</v>
      </c>
      <c r="M47" s="272">
        <f t="shared" si="26"/>
        <v>-439.503902342093</v>
      </c>
      <c r="N47" s="272">
        <f t="shared" si="26"/>
        <v>-459.79285907614</v>
      </c>
      <c r="O47" s="272">
        <f t="shared" si="26"/>
        <v>-456.233424556562</v>
      </c>
      <c r="P47" s="272">
        <f t="shared" si="26"/>
        <v>-498.203398513022</v>
      </c>
      <c r="Q47" s="272">
        <f t="shared" si="26"/>
        <v>-489.244902455356</v>
      </c>
      <c r="R47" s="272">
        <f t="shared" si="26"/>
        <v>-523.64021851385</v>
      </c>
      <c r="S47" s="272">
        <f t="shared" si="26"/>
        <v>-517.38577676153</v>
      </c>
      <c r="T47" s="272">
        <f t="shared" si="26"/>
        <v>-562.080825124263</v>
      </c>
      <c r="U47" s="272">
        <f t="shared" si="26"/>
        <v>-552.535453714308</v>
      </c>
      <c r="W47" s="269">
        <f t="shared" ref="W47:Z47" si="27">SUM(W42:W46)</f>
        <v>-1644.927</v>
      </c>
      <c r="X47" s="269">
        <f t="shared" si="27"/>
        <v>-1711.64252766654</v>
      </c>
      <c r="Y47" s="269">
        <f t="shared" si="27"/>
        <v>-1903.47458460108</v>
      </c>
      <c r="Z47" s="269">
        <f t="shared" si="27"/>
        <v>-2155.64227411395</v>
      </c>
    </row>
    <row r="48" outlineLevel="1" spans="7:26">
      <c r="G48" s="273"/>
      <c r="X48" s="197"/>
      <c r="Y48" s="197"/>
      <c r="Z48" s="197"/>
    </row>
    <row r="49" outlineLevel="1" spans="3:26">
      <c r="C49" s="193" t="s">
        <v>212</v>
      </c>
      <c r="D49" s="181" t="s">
        <v>48</v>
      </c>
      <c r="F49" s="269">
        <f t="shared" ref="F49:U49" si="28">+F39+F47</f>
        <v>118.116</v>
      </c>
      <c r="G49" s="269">
        <f t="shared" si="28"/>
        <v>112.298</v>
      </c>
      <c r="H49" s="269">
        <f t="shared" si="28"/>
        <v>115.75</v>
      </c>
      <c r="I49" s="269">
        <f t="shared" si="28"/>
        <v>151.122</v>
      </c>
      <c r="J49" s="269">
        <f t="shared" si="28"/>
        <v>137.283</v>
      </c>
      <c r="K49" s="269">
        <f t="shared" si="28"/>
        <v>119.00895806881</v>
      </c>
      <c r="L49" s="269">
        <f t="shared" si="28"/>
        <v>124.265704355345</v>
      </c>
      <c r="M49" s="269">
        <f t="shared" si="28"/>
        <v>139.186234664349</v>
      </c>
      <c r="N49" s="269">
        <f t="shared" si="28"/>
        <v>151.485254441231</v>
      </c>
      <c r="O49" s="269">
        <f t="shared" si="28"/>
        <v>131.693027610384</v>
      </c>
      <c r="P49" s="269">
        <f t="shared" si="28"/>
        <v>137.899018438756</v>
      </c>
      <c r="Q49" s="269">
        <f t="shared" si="28"/>
        <v>154.302415824497</v>
      </c>
      <c r="R49" s="269">
        <f t="shared" si="28"/>
        <v>169.878543582282</v>
      </c>
      <c r="S49" s="269">
        <f t="shared" si="28"/>
        <v>146.497155388107</v>
      </c>
      <c r="T49" s="269">
        <f t="shared" si="28"/>
        <v>153.019040113418</v>
      </c>
      <c r="U49" s="269">
        <f t="shared" si="28"/>
        <v>172.19517657482</v>
      </c>
      <c r="W49" s="269">
        <f t="shared" ref="W49:Z49" si="29">+W39+W47</f>
        <v>497.286</v>
      </c>
      <c r="X49" s="269">
        <f t="shared" si="29"/>
        <v>519.743897088504</v>
      </c>
      <c r="Y49" s="269">
        <f t="shared" si="29"/>
        <v>575.379716314868</v>
      </c>
      <c r="Z49" s="269">
        <f t="shared" si="29"/>
        <v>641.589915658627</v>
      </c>
    </row>
    <row r="50" outlineLevel="1" spans="6:6">
      <c r="F50" s="274"/>
    </row>
    <row r="51" outlineLevel="1" spans="3:26">
      <c r="C51" s="51" t="s">
        <v>213</v>
      </c>
      <c r="D51" s="181" t="s">
        <v>48</v>
      </c>
      <c r="F51" s="275">
        <v>4.078</v>
      </c>
      <c r="G51" s="275">
        <v>4.132</v>
      </c>
      <c r="H51" s="275">
        <v>4.152</v>
      </c>
      <c r="I51" s="275">
        <v>4.742</v>
      </c>
      <c r="J51" s="275">
        <v>5.324</v>
      </c>
      <c r="K51" s="289">
        <f t="shared" ref="K51:U51" si="30">+G51*(1+K104)</f>
        <v>4.9584</v>
      </c>
      <c r="L51" s="289">
        <f t="shared" si="30"/>
        <v>4.7748</v>
      </c>
      <c r="M51" s="289">
        <f t="shared" si="30"/>
        <v>5.2162</v>
      </c>
      <c r="N51" s="289">
        <f t="shared" si="30"/>
        <v>5.5902</v>
      </c>
      <c r="O51" s="289">
        <f t="shared" si="30"/>
        <v>5.20632</v>
      </c>
      <c r="P51" s="289">
        <f t="shared" si="30"/>
        <v>5.01354</v>
      </c>
      <c r="Q51" s="289">
        <f t="shared" si="30"/>
        <v>5.47701</v>
      </c>
      <c r="R51" s="289">
        <f t="shared" si="30"/>
        <v>5.86971</v>
      </c>
      <c r="S51" s="289">
        <f t="shared" si="30"/>
        <v>5.466636</v>
      </c>
      <c r="T51" s="289">
        <f t="shared" si="30"/>
        <v>5.264217</v>
      </c>
      <c r="U51" s="289">
        <f t="shared" si="30"/>
        <v>5.7508605</v>
      </c>
      <c r="W51" s="302">
        <f t="shared" ref="W51:Z51" si="31">SUMIF($F$26:$U$26,W$26,$F51:$U51)</f>
        <v>17.104</v>
      </c>
      <c r="X51" s="302">
        <f t="shared" si="31"/>
        <v>20.2734</v>
      </c>
      <c r="Y51" s="302">
        <f t="shared" si="31"/>
        <v>21.28707</v>
      </c>
      <c r="Z51" s="302">
        <f t="shared" si="31"/>
        <v>22.3514235</v>
      </c>
    </row>
    <row r="52" outlineLevel="1" spans="3:26">
      <c r="C52" s="51" t="s">
        <v>214</v>
      </c>
      <c r="D52" s="181" t="s">
        <v>48</v>
      </c>
      <c r="F52" s="264">
        <v>1.097</v>
      </c>
      <c r="G52" s="264">
        <v>0</v>
      </c>
      <c r="H52" s="264">
        <v>169</v>
      </c>
      <c r="I52" s="264">
        <v>-0.195</v>
      </c>
      <c r="J52" s="264">
        <v>-0.522</v>
      </c>
      <c r="K52" s="306">
        <v>0</v>
      </c>
      <c r="L52" s="307">
        <f t="shared" ref="L52:U52" si="32">+K52</f>
        <v>0</v>
      </c>
      <c r="M52" s="307">
        <f t="shared" si="32"/>
        <v>0</v>
      </c>
      <c r="N52" s="307">
        <f t="shared" si="32"/>
        <v>0</v>
      </c>
      <c r="O52" s="308">
        <f t="shared" si="32"/>
        <v>0</v>
      </c>
      <c r="P52" s="308">
        <f t="shared" si="32"/>
        <v>0</v>
      </c>
      <c r="Q52" s="308">
        <f t="shared" si="32"/>
        <v>0</v>
      </c>
      <c r="R52" s="308">
        <f t="shared" si="32"/>
        <v>0</v>
      </c>
      <c r="S52" s="308">
        <f t="shared" si="32"/>
        <v>0</v>
      </c>
      <c r="T52" s="308">
        <f t="shared" si="32"/>
        <v>0</v>
      </c>
      <c r="U52" s="308">
        <f t="shared" si="32"/>
        <v>0</v>
      </c>
      <c r="W52" s="302">
        <f t="shared" ref="W52:Z52" si="33">SUMIF($F$26:$U$26,W$26,$F52:$U52)</f>
        <v>169.902</v>
      </c>
      <c r="X52" s="302">
        <f t="shared" si="33"/>
        <v>-0.522</v>
      </c>
      <c r="Y52" s="302">
        <f t="shared" si="33"/>
        <v>0</v>
      </c>
      <c r="Z52" s="302">
        <f t="shared" si="33"/>
        <v>0</v>
      </c>
    </row>
    <row r="53" outlineLevel="1" spans="3:26">
      <c r="C53" s="51" t="s">
        <v>215</v>
      </c>
      <c r="D53" s="181" t="s">
        <v>48</v>
      </c>
      <c r="F53" s="264">
        <v>-57.885</v>
      </c>
      <c r="G53" s="264">
        <v>-63.234</v>
      </c>
      <c r="H53" s="264">
        <v>-62.729</v>
      </c>
      <c r="I53" s="264">
        <v>-57.196</v>
      </c>
      <c r="J53" s="264">
        <v>-55.299</v>
      </c>
      <c r="K53" s="289">
        <f>-J128*K99/Num_Periods</f>
        <v>-58.9126255</v>
      </c>
      <c r="L53" s="289">
        <f>-K128*L99/Num_Periods</f>
        <v>-62.5721547757958</v>
      </c>
      <c r="M53" s="289">
        <f>-L128*M99/Num_Periods</f>
        <v>-65.0039894922046</v>
      </c>
      <c r="N53" s="289">
        <f>-M128*N99/Num_Periods</f>
        <v>-65.0039894922046</v>
      </c>
      <c r="O53" s="289">
        <f>-N128*O99/Num_Periods</f>
        <v>-68.356194735685</v>
      </c>
      <c r="P53" s="289">
        <f>-O128*P99/Num_Periods</f>
        <v>-69.9721873760344</v>
      </c>
      <c r="Q53" s="289">
        <f>-P128*Q99/Num_Periods</f>
        <v>-72.6490812194011</v>
      </c>
      <c r="R53" s="289">
        <f>-Q128*R99/Num_Periods</f>
        <v>-74.3788212484345</v>
      </c>
      <c r="S53" s="289">
        <f>-R128*S99/Num_Periods</f>
        <v>-76.2566473758998</v>
      </c>
      <c r="T53" s="289">
        <f>-S128*T99/Num_Periods</f>
        <v>-80.0152146004933</v>
      </c>
      <c r="U53" s="289">
        <f>-T128*U99/Num_Periods</f>
        <v>-81.0890576996004</v>
      </c>
      <c r="W53" s="302">
        <f t="shared" ref="W53:Z53" si="34">SUMIF($F$26:$U$26,W$26,$F53:$U53)</f>
        <v>-241.044</v>
      </c>
      <c r="X53" s="302">
        <f t="shared" si="34"/>
        <v>-241.787769768</v>
      </c>
      <c r="Y53" s="302">
        <f t="shared" si="34"/>
        <v>-275.981452823325</v>
      </c>
      <c r="Z53" s="302">
        <f t="shared" si="34"/>
        <v>-311.739740924428</v>
      </c>
    </row>
    <row r="54" outlineLevel="1" spans="3:26">
      <c r="C54" s="51" t="s">
        <v>218</v>
      </c>
      <c r="D54" s="181" t="s">
        <v>48</v>
      </c>
      <c r="F54" s="264">
        <v>-0.964</v>
      </c>
      <c r="G54" s="264">
        <v>0</v>
      </c>
      <c r="H54" s="264">
        <v>-0.018</v>
      </c>
      <c r="I54" s="264">
        <v>-0.029</v>
      </c>
      <c r="J54" s="264">
        <v>0</v>
      </c>
      <c r="K54" s="306">
        <v>0</v>
      </c>
      <c r="L54" s="307">
        <f t="shared" ref="L54:U54" si="35">+K54</f>
        <v>0</v>
      </c>
      <c r="M54" s="307">
        <f t="shared" si="35"/>
        <v>0</v>
      </c>
      <c r="N54" s="307">
        <f t="shared" si="35"/>
        <v>0</v>
      </c>
      <c r="O54" s="308">
        <f t="shared" si="35"/>
        <v>0</v>
      </c>
      <c r="P54" s="308">
        <f t="shared" si="35"/>
        <v>0</v>
      </c>
      <c r="Q54" s="308">
        <f t="shared" si="35"/>
        <v>0</v>
      </c>
      <c r="R54" s="308">
        <f t="shared" si="35"/>
        <v>0</v>
      </c>
      <c r="S54" s="308">
        <f t="shared" si="35"/>
        <v>0</v>
      </c>
      <c r="T54" s="308">
        <f t="shared" si="35"/>
        <v>0</v>
      </c>
      <c r="U54" s="308">
        <f t="shared" si="35"/>
        <v>0</v>
      </c>
      <c r="W54" s="302">
        <f t="shared" ref="W54:Z54" si="36">SUMIF($F$26:$U$26,W$26,$F54:$U54)</f>
        <v>-1.011</v>
      </c>
      <c r="X54" s="302">
        <f t="shared" si="36"/>
        <v>0</v>
      </c>
      <c r="Y54" s="302">
        <f t="shared" si="36"/>
        <v>0</v>
      </c>
      <c r="Z54" s="302">
        <f t="shared" si="36"/>
        <v>0</v>
      </c>
    </row>
    <row r="55" outlineLevel="1"/>
    <row r="56" outlineLevel="1" spans="3:26">
      <c r="C56" s="193" t="s">
        <v>219</v>
      </c>
      <c r="D56" s="181" t="s">
        <v>48</v>
      </c>
      <c r="F56" s="269">
        <f t="shared" ref="F56:U56" si="37">+F49+SUM(F51:F54)</f>
        <v>64.442</v>
      </c>
      <c r="G56" s="269">
        <f t="shared" si="37"/>
        <v>53.196</v>
      </c>
      <c r="H56" s="269">
        <f t="shared" si="37"/>
        <v>226.155</v>
      </c>
      <c r="I56" s="269">
        <f t="shared" si="37"/>
        <v>98.4440000000001</v>
      </c>
      <c r="J56" s="269">
        <f t="shared" si="37"/>
        <v>86.786</v>
      </c>
      <c r="K56" s="269">
        <f t="shared" si="37"/>
        <v>65.0547325688096</v>
      </c>
      <c r="L56" s="269">
        <f t="shared" si="37"/>
        <v>66.4683495795496</v>
      </c>
      <c r="M56" s="269">
        <f t="shared" si="37"/>
        <v>79.3984451721443</v>
      </c>
      <c r="N56" s="269">
        <f t="shared" si="37"/>
        <v>92.0714649490263</v>
      </c>
      <c r="O56" s="269">
        <f t="shared" si="37"/>
        <v>68.5431528746985</v>
      </c>
      <c r="P56" s="269">
        <f t="shared" si="37"/>
        <v>72.940371062722</v>
      </c>
      <c r="Q56" s="269">
        <f t="shared" si="37"/>
        <v>87.1303446050964</v>
      </c>
      <c r="R56" s="269">
        <f t="shared" si="37"/>
        <v>101.369432333847</v>
      </c>
      <c r="S56" s="269">
        <f t="shared" si="37"/>
        <v>75.7071440122068</v>
      </c>
      <c r="T56" s="269">
        <f t="shared" si="37"/>
        <v>78.268042512925</v>
      </c>
      <c r="U56" s="269">
        <f t="shared" si="37"/>
        <v>96.8569793752199</v>
      </c>
      <c r="W56" s="269">
        <f t="shared" ref="W56:Z56" si="38">+W49+SUM(W51:W54)</f>
        <v>442.237</v>
      </c>
      <c r="X56" s="269">
        <f t="shared" si="38"/>
        <v>297.707527320503</v>
      </c>
      <c r="Y56" s="269">
        <f t="shared" si="38"/>
        <v>320.685333491543</v>
      </c>
      <c r="Z56" s="269">
        <f t="shared" si="38"/>
        <v>352.201598234199</v>
      </c>
    </row>
    <row r="57" outlineLevel="1" spans="3:26">
      <c r="C57" s="51" t="s">
        <v>220</v>
      </c>
      <c r="D57" s="200" t="s">
        <v>48</v>
      </c>
      <c r="F57" s="264">
        <v>-2.109</v>
      </c>
      <c r="G57" s="264">
        <v>-2.252</v>
      </c>
      <c r="H57" s="264">
        <v>-3.72</v>
      </c>
      <c r="I57" s="264">
        <v>-2.304</v>
      </c>
      <c r="J57" s="264">
        <v>-2.223</v>
      </c>
      <c r="K57" s="309">
        <f t="shared" ref="K57:U57" si="39">-K56*K102</f>
        <v>-2.75402770405593</v>
      </c>
      <c r="L57" s="309">
        <f t="shared" si="39"/>
        <v>-1.09333094751796</v>
      </c>
      <c r="M57" s="309">
        <f t="shared" si="39"/>
        <v>-1.85825461863212</v>
      </c>
      <c r="N57" s="309">
        <f t="shared" si="39"/>
        <v>-2.35838576016507</v>
      </c>
      <c r="O57" s="310">
        <f t="shared" si="39"/>
        <v>-2.90170652443456</v>
      </c>
      <c r="P57" s="310">
        <f t="shared" si="39"/>
        <v>-1.19978855366154</v>
      </c>
      <c r="Q57" s="310">
        <f t="shared" si="39"/>
        <v>-2.03921329862807</v>
      </c>
      <c r="R57" s="310">
        <f t="shared" si="39"/>
        <v>-2.59655068879937</v>
      </c>
      <c r="S57" s="310">
        <f t="shared" si="39"/>
        <v>-3.20498699743383</v>
      </c>
      <c r="T57" s="310">
        <f t="shared" si="39"/>
        <v>-1.28742286550411</v>
      </c>
      <c r="U57" s="310">
        <f t="shared" si="39"/>
        <v>-2.26685710130131</v>
      </c>
      <c r="W57" s="303">
        <f t="shared" ref="W57:Z57" si="40">SUMIF($F$26:$U$26,W$26,$F57:$U57)</f>
        <v>-10.385</v>
      </c>
      <c r="X57" s="303">
        <f t="shared" si="40"/>
        <v>-7.92861327020601</v>
      </c>
      <c r="Y57" s="303">
        <f t="shared" si="40"/>
        <v>-8.49909413688924</v>
      </c>
      <c r="Z57" s="303">
        <f t="shared" si="40"/>
        <v>-9.35581765303861</v>
      </c>
    </row>
    <row r="58" outlineLevel="1" spans="3:26">
      <c r="C58" s="189" t="s">
        <v>221</v>
      </c>
      <c r="D58" s="181" t="s">
        <v>48</v>
      </c>
      <c r="E58" s="212"/>
      <c r="F58" s="272">
        <f t="shared" ref="F58:U58" si="41">SUM(F56:F57)</f>
        <v>62.333</v>
      </c>
      <c r="G58" s="272">
        <f t="shared" si="41"/>
        <v>50.944</v>
      </c>
      <c r="H58" s="272">
        <f t="shared" si="41"/>
        <v>222.435</v>
      </c>
      <c r="I58" s="272">
        <f t="shared" si="41"/>
        <v>96.1400000000001</v>
      </c>
      <c r="J58" s="272">
        <f t="shared" si="41"/>
        <v>84.563</v>
      </c>
      <c r="K58" s="272">
        <f t="shared" si="41"/>
        <v>62.3007048647537</v>
      </c>
      <c r="L58" s="272">
        <f t="shared" si="41"/>
        <v>65.3750186320317</v>
      </c>
      <c r="M58" s="272">
        <f t="shared" si="41"/>
        <v>77.5401905535122</v>
      </c>
      <c r="N58" s="272">
        <f t="shared" si="41"/>
        <v>89.7130791888612</v>
      </c>
      <c r="O58" s="272">
        <f t="shared" si="41"/>
        <v>65.641446350264</v>
      </c>
      <c r="P58" s="272">
        <f t="shared" si="41"/>
        <v>71.7405825090605</v>
      </c>
      <c r="Q58" s="272">
        <f t="shared" si="41"/>
        <v>85.0911313064683</v>
      </c>
      <c r="R58" s="272">
        <f t="shared" si="41"/>
        <v>98.7728816450477</v>
      </c>
      <c r="S58" s="272">
        <f t="shared" si="41"/>
        <v>72.502157014773</v>
      </c>
      <c r="T58" s="272">
        <f t="shared" si="41"/>
        <v>76.9806196474209</v>
      </c>
      <c r="U58" s="272">
        <f t="shared" si="41"/>
        <v>94.5901222739185</v>
      </c>
      <c r="W58" s="269">
        <f t="shared" ref="W58:Z58" si="42">SUM(W56:W57)</f>
        <v>431.852</v>
      </c>
      <c r="X58" s="269">
        <f t="shared" si="42"/>
        <v>289.778914050297</v>
      </c>
      <c r="Y58" s="269">
        <f t="shared" si="42"/>
        <v>312.186239354654</v>
      </c>
      <c r="Z58" s="269">
        <f t="shared" si="42"/>
        <v>342.84578058116</v>
      </c>
    </row>
    <row r="59" outlineLevel="1" spans="3:26">
      <c r="C59" s="51" t="s">
        <v>222</v>
      </c>
      <c r="D59" s="200" t="s">
        <v>48</v>
      </c>
      <c r="F59" s="275">
        <v>-0.784</v>
      </c>
      <c r="G59" s="275">
        <v>-0.569</v>
      </c>
      <c r="H59" s="275">
        <v>-3.247</v>
      </c>
      <c r="I59" s="275">
        <v>-1.065</v>
      </c>
      <c r="J59" s="275">
        <v>-1.025</v>
      </c>
      <c r="K59" s="311">
        <f t="shared" ref="K59:U59" si="43">+F59*(1+K105)</f>
        <v>-0.9408</v>
      </c>
      <c r="L59" s="311">
        <f t="shared" si="43"/>
        <v>-0.65435</v>
      </c>
      <c r="M59" s="311">
        <f t="shared" si="43"/>
        <v>-3.5717</v>
      </c>
      <c r="N59" s="311">
        <f t="shared" si="43"/>
        <v>-1.11825</v>
      </c>
      <c r="O59" s="311">
        <f t="shared" si="43"/>
        <v>-1.07625</v>
      </c>
      <c r="P59" s="311">
        <f t="shared" si="43"/>
        <v>-0.98784</v>
      </c>
      <c r="Q59" s="311">
        <f t="shared" si="43"/>
        <v>-0.6870675</v>
      </c>
      <c r="R59" s="311">
        <f t="shared" si="43"/>
        <v>-3.750285</v>
      </c>
      <c r="S59" s="311">
        <f t="shared" si="43"/>
        <v>-1.1741625</v>
      </c>
      <c r="T59" s="311">
        <f t="shared" si="43"/>
        <v>-1.1300625</v>
      </c>
      <c r="U59" s="311">
        <f t="shared" si="43"/>
        <v>-1.037232</v>
      </c>
      <c r="W59" s="311">
        <f t="shared" ref="W59:Z59" si="44">SUMIF($F$26:$U$26,W$26,$F59:$U59)</f>
        <v>-5.665</v>
      </c>
      <c r="X59" s="311">
        <f t="shared" si="44"/>
        <v>-6.19185</v>
      </c>
      <c r="Y59" s="311">
        <f t="shared" si="44"/>
        <v>-3.8694075</v>
      </c>
      <c r="Z59" s="311">
        <f t="shared" si="44"/>
        <v>-7.091742</v>
      </c>
    </row>
    <row r="60" outlineLevel="1" spans="3:26">
      <c r="C60" s="189" t="s">
        <v>223</v>
      </c>
      <c r="D60" s="181" t="s">
        <v>48</v>
      </c>
      <c r="E60" s="212"/>
      <c r="F60" s="272">
        <f t="shared" ref="F60:U60" si="45">SUM(F58:F59)</f>
        <v>61.549</v>
      </c>
      <c r="G60" s="272">
        <f t="shared" si="45"/>
        <v>50.375</v>
      </c>
      <c r="H60" s="272">
        <f t="shared" si="45"/>
        <v>219.188</v>
      </c>
      <c r="I60" s="272">
        <f t="shared" si="45"/>
        <v>95.0750000000001</v>
      </c>
      <c r="J60" s="272">
        <f t="shared" si="45"/>
        <v>83.538</v>
      </c>
      <c r="K60" s="269">
        <f t="shared" si="45"/>
        <v>61.3599048647537</v>
      </c>
      <c r="L60" s="269">
        <f t="shared" si="45"/>
        <v>64.7206686320317</v>
      </c>
      <c r="M60" s="269">
        <f t="shared" si="45"/>
        <v>73.9684905535122</v>
      </c>
      <c r="N60" s="269">
        <f t="shared" si="45"/>
        <v>88.5948291888612</v>
      </c>
      <c r="O60" s="269">
        <f t="shared" si="45"/>
        <v>64.565196350264</v>
      </c>
      <c r="P60" s="269">
        <f t="shared" si="45"/>
        <v>70.7527425090605</v>
      </c>
      <c r="Q60" s="269">
        <f t="shared" si="45"/>
        <v>84.4040638064683</v>
      </c>
      <c r="R60" s="269">
        <f t="shared" si="45"/>
        <v>95.0225966450477</v>
      </c>
      <c r="S60" s="269">
        <f t="shared" si="45"/>
        <v>71.327994514773</v>
      </c>
      <c r="T60" s="269">
        <f t="shared" si="45"/>
        <v>75.8505571474209</v>
      </c>
      <c r="U60" s="269">
        <f t="shared" si="45"/>
        <v>93.5528902739185</v>
      </c>
      <c r="W60" s="269">
        <f t="shared" ref="W60:Z60" si="46">SUM(W58:W59)</f>
        <v>426.187</v>
      </c>
      <c r="X60" s="269">
        <f t="shared" si="46"/>
        <v>283.587064050297</v>
      </c>
      <c r="Y60" s="269">
        <f t="shared" si="46"/>
        <v>308.316831854654</v>
      </c>
      <c r="Z60" s="269">
        <f t="shared" si="46"/>
        <v>335.75403858116</v>
      </c>
    </row>
    <row r="61" outlineLevel="1" spans="3:26">
      <c r="C61" s="51" t="s">
        <v>224</v>
      </c>
      <c r="D61" s="181" t="s">
        <v>48</v>
      </c>
      <c r="F61" s="275">
        <v>-22.424</v>
      </c>
      <c r="G61" s="275">
        <v>-22.424</v>
      </c>
      <c r="H61" s="275">
        <v>-21.53</v>
      </c>
      <c r="I61" s="275">
        <v>-17.393</v>
      </c>
      <c r="J61" s="275">
        <v>-17.393</v>
      </c>
      <c r="K61" s="309">
        <f>-J134*K100/Num_Periods</f>
        <v>-17.7268175</v>
      </c>
      <c r="L61" s="309">
        <f>-K134*L100/Num_Periods</f>
        <v>-17.7268175</v>
      </c>
      <c r="M61" s="309">
        <f>-L134*M100/Num_Periods</f>
        <v>-17.7268175</v>
      </c>
      <c r="N61" s="309">
        <f>-M134*N100/Num_Periods</f>
        <v>-17.7268175</v>
      </c>
      <c r="O61" s="309">
        <f>-N134*O100/Num_Periods</f>
        <v>-17.7268175</v>
      </c>
      <c r="P61" s="309">
        <f>-O134*P100/Num_Periods</f>
        <v>-17.7268175</v>
      </c>
      <c r="Q61" s="309">
        <f>-P134*Q100/Num_Periods</f>
        <v>-17.7268175</v>
      </c>
      <c r="R61" s="309">
        <f>-Q134*R100/Num_Periods</f>
        <v>-17.7268175</v>
      </c>
      <c r="S61" s="309">
        <f>-R134*S100/Num_Periods</f>
        <v>-17.7268175</v>
      </c>
      <c r="T61" s="309">
        <f>-S134*T100/Num_Periods</f>
        <v>-17.7268175</v>
      </c>
      <c r="U61" s="309">
        <f>-T134*U100/Num_Periods</f>
        <v>-17.7268175</v>
      </c>
      <c r="W61" s="309">
        <f t="shared" ref="W61:Z61" si="47">SUMIF($F$26:$U$26,W$26,$F61:$U61)</f>
        <v>-83.771</v>
      </c>
      <c r="X61" s="309">
        <f t="shared" si="47"/>
        <v>-70.5734525</v>
      </c>
      <c r="Y61" s="309">
        <f t="shared" si="47"/>
        <v>-70.90727</v>
      </c>
      <c r="Z61" s="309">
        <f t="shared" si="47"/>
        <v>-70.90727</v>
      </c>
    </row>
    <row r="62" outlineLevel="1" spans="3:26">
      <c r="C62" s="51" t="s">
        <v>226</v>
      </c>
      <c r="D62" s="200" t="s">
        <v>48</v>
      </c>
      <c r="F62" s="275">
        <v>0</v>
      </c>
      <c r="G62" s="275">
        <v>0</v>
      </c>
      <c r="H62" s="275">
        <v>-10.328</v>
      </c>
      <c r="I62" s="275">
        <v>0</v>
      </c>
      <c r="J62" s="275">
        <v>0</v>
      </c>
      <c r="K62" s="306">
        <v>0</v>
      </c>
      <c r="L62" s="307">
        <f t="shared" ref="L62:U62" si="48">+K62</f>
        <v>0</v>
      </c>
      <c r="M62" s="307">
        <f t="shared" si="48"/>
        <v>0</v>
      </c>
      <c r="N62" s="307">
        <f t="shared" si="48"/>
        <v>0</v>
      </c>
      <c r="O62" s="308">
        <f t="shared" si="48"/>
        <v>0</v>
      </c>
      <c r="P62" s="308">
        <f t="shared" si="48"/>
        <v>0</v>
      </c>
      <c r="Q62" s="308">
        <f t="shared" si="48"/>
        <v>0</v>
      </c>
      <c r="R62" s="308">
        <f t="shared" si="48"/>
        <v>0</v>
      </c>
      <c r="S62" s="308">
        <f t="shared" si="48"/>
        <v>0</v>
      </c>
      <c r="T62" s="308">
        <f t="shared" si="48"/>
        <v>0</v>
      </c>
      <c r="U62" s="308">
        <f t="shared" si="48"/>
        <v>0</v>
      </c>
      <c r="W62" s="303">
        <f t="shared" ref="W62:Z62" si="49">SUMIF($F$26:$U$26,W$26,$F62:$U62)</f>
        <v>-10.328</v>
      </c>
      <c r="X62" s="310">
        <f t="shared" si="49"/>
        <v>0</v>
      </c>
      <c r="Y62" s="310">
        <f t="shared" si="49"/>
        <v>0</v>
      </c>
      <c r="Z62" s="310">
        <f t="shared" si="49"/>
        <v>0</v>
      </c>
    </row>
    <row r="63" outlineLevel="1" spans="3:26">
      <c r="C63" s="189" t="s">
        <v>227</v>
      </c>
      <c r="D63" s="181" t="s">
        <v>48</v>
      </c>
      <c r="E63" s="212"/>
      <c r="F63" s="276">
        <f t="shared" ref="F63:U63" si="50">SUM(F60:F62)</f>
        <v>39.125</v>
      </c>
      <c r="G63" s="276">
        <f t="shared" si="50"/>
        <v>27.951</v>
      </c>
      <c r="H63" s="276">
        <f t="shared" si="50"/>
        <v>187.33</v>
      </c>
      <c r="I63" s="276">
        <f t="shared" si="50"/>
        <v>77.6820000000001</v>
      </c>
      <c r="J63" s="276">
        <f t="shared" si="50"/>
        <v>66.145</v>
      </c>
      <c r="K63" s="276">
        <f t="shared" si="50"/>
        <v>43.6330873647536</v>
      </c>
      <c r="L63" s="276">
        <f t="shared" si="50"/>
        <v>46.9938511320317</v>
      </c>
      <c r="M63" s="276">
        <f t="shared" si="50"/>
        <v>56.2416730535122</v>
      </c>
      <c r="N63" s="276">
        <f t="shared" si="50"/>
        <v>70.8680116888612</v>
      </c>
      <c r="O63" s="276">
        <f t="shared" si="50"/>
        <v>46.838378850264</v>
      </c>
      <c r="P63" s="276">
        <f t="shared" si="50"/>
        <v>53.0259250090605</v>
      </c>
      <c r="Q63" s="276">
        <f t="shared" si="50"/>
        <v>66.6772463064683</v>
      </c>
      <c r="R63" s="276">
        <f t="shared" si="50"/>
        <v>77.2957791450477</v>
      </c>
      <c r="S63" s="276">
        <f t="shared" si="50"/>
        <v>53.601177014773</v>
      </c>
      <c r="T63" s="276">
        <f t="shared" si="50"/>
        <v>58.1237396474209</v>
      </c>
      <c r="U63" s="276">
        <f t="shared" si="50"/>
        <v>75.8260727739185</v>
      </c>
      <c r="W63" s="276">
        <f t="shared" ref="W63:Z63" si="51">SUM(W60:W62)</f>
        <v>332.088</v>
      </c>
      <c r="X63" s="276">
        <f t="shared" si="51"/>
        <v>213.013611550297</v>
      </c>
      <c r="Y63" s="276">
        <f t="shared" si="51"/>
        <v>237.409561854654</v>
      </c>
      <c r="Z63" s="276">
        <f t="shared" si="51"/>
        <v>264.84676858116</v>
      </c>
    </row>
    <row r="64" outlineLevel="1" spans="6:6">
      <c r="F64" s="277"/>
    </row>
    <row r="65" outlineLevel="1" spans="3:26">
      <c r="C65" s="11" t="s">
        <v>228</v>
      </c>
      <c r="D65" s="9" t="s">
        <v>229</v>
      </c>
      <c r="F65" s="278">
        <v>147.433194</v>
      </c>
      <c r="G65" s="278">
        <v>147.808268</v>
      </c>
      <c r="H65" s="278">
        <v>149.384871</v>
      </c>
      <c r="I65" s="278">
        <v>159.699411</v>
      </c>
      <c r="J65" s="278">
        <v>160.421655</v>
      </c>
      <c r="K65" s="312">
        <f t="shared" ref="K65:U65" si="52">+J65+K$226</f>
        <v>160.625319068314</v>
      </c>
      <c r="L65" s="312">
        <f t="shared" si="52"/>
        <v>160.703217399236</v>
      </c>
      <c r="M65" s="312">
        <f t="shared" si="52"/>
        <v>160.703217399236</v>
      </c>
      <c r="N65" s="312">
        <f t="shared" si="52"/>
        <v>160.861851621461</v>
      </c>
      <c r="O65" s="312">
        <f t="shared" si="52"/>
        <v>161.010280153886</v>
      </c>
      <c r="P65" s="312">
        <f t="shared" si="52"/>
        <v>161.097276002216</v>
      </c>
      <c r="Q65" s="312">
        <f t="shared" si="52"/>
        <v>161.097276002216</v>
      </c>
      <c r="R65" s="312">
        <f t="shared" si="52"/>
        <v>161.26173165025</v>
      </c>
      <c r="S65" s="312">
        <f t="shared" si="52"/>
        <v>161.431635811375</v>
      </c>
      <c r="T65" s="312">
        <f t="shared" si="52"/>
        <v>161.523543115146</v>
      </c>
      <c r="U65" s="312">
        <f t="shared" si="52"/>
        <v>161.523543115146</v>
      </c>
      <c r="W65" s="312">
        <f t="shared" ref="W65:Z65" si="53">AVERAGEIF($F$26:$U$26,W$26,$F65:$U65)</f>
        <v>151.081436</v>
      </c>
      <c r="X65" s="312">
        <f t="shared" si="53"/>
        <v>160.613352216696</v>
      </c>
      <c r="Y65" s="312">
        <f t="shared" si="53"/>
        <v>161.016670944945</v>
      </c>
      <c r="Z65" s="312">
        <f t="shared" si="53"/>
        <v>161.435113422979</v>
      </c>
    </row>
    <row r="66" outlineLevel="1" spans="3:26">
      <c r="C66" s="11" t="s">
        <v>466</v>
      </c>
      <c r="D66" s="279" t="s">
        <v>65</v>
      </c>
      <c r="F66" s="233">
        <f t="shared" ref="F66:U66" si="54">+F63/F65</f>
        <v>0.265374431215267</v>
      </c>
      <c r="G66" s="233">
        <f t="shared" si="54"/>
        <v>0.189103088603947</v>
      </c>
      <c r="H66" s="233">
        <f t="shared" si="54"/>
        <v>1.2540091827639</v>
      </c>
      <c r="I66" s="233">
        <f t="shared" si="54"/>
        <v>0.486426340044548</v>
      </c>
      <c r="J66" s="233">
        <f t="shared" si="54"/>
        <v>0.412319645997917</v>
      </c>
      <c r="K66" s="233">
        <f t="shared" si="54"/>
        <v>0.271645140491186</v>
      </c>
      <c r="L66" s="233">
        <f t="shared" si="54"/>
        <v>0.292426324080896</v>
      </c>
      <c r="M66" s="233">
        <f t="shared" si="54"/>
        <v>0.34997229031072</v>
      </c>
      <c r="N66" s="233">
        <f t="shared" si="54"/>
        <v>0.440552007666971</v>
      </c>
      <c r="O66" s="233">
        <f t="shared" si="54"/>
        <v>0.290903033057877</v>
      </c>
      <c r="P66" s="233">
        <f t="shared" si="54"/>
        <v>0.329154696621507</v>
      </c>
      <c r="Q66" s="233">
        <f t="shared" si="54"/>
        <v>0.413894312561506</v>
      </c>
      <c r="R66" s="233">
        <f t="shared" si="54"/>
        <v>0.479318796555461</v>
      </c>
      <c r="S66" s="233">
        <f t="shared" si="54"/>
        <v>0.332036386457753</v>
      </c>
      <c r="T66" s="233">
        <f t="shared" si="54"/>
        <v>0.359846859017859</v>
      </c>
      <c r="U66" s="233">
        <f t="shared" si="54"/>
        <v>0.4694428521783</v>
      </c>
      <c r="W66" s="233">
        <f t="shared" ref="W66:Z66" si="55">+W63/W65</f>
        <v>2.1980728327205</v>
      </c>
      <c r="X66" s="233">
        <f t="shared" si="55"/>
        <v>1.32625095367478</v>
      </c>
      <c r="Y66" s="233">
        <f t="shared" si="55"/>
        <v>1.47444087908034</v>
      </c>
      <c r="Z66" s="233">
        <f t="shared" si="55"/>
        <v>1.64057721375169</v>
      </c>
    </row>
    <row r="67" outlineLevel="1"/>
    <row r="68" outlineLevel="1" spans="3:26">
      <c r="C68" s="11" t="s">
        <v>236</v>
      </c>
      <c r="D68" s="9" t="s">
        <v>229</v>
      </c>
      <c r="F68" s="278">
        <v>149.915428</v>
      </c>
      <c r="G68" s="278">
        <v>150.210714</v>
      </c>
      <c r="H68" s="278">
        <v>151.764542</v>
      </c>
      <c r="I68" s="278">
        <v>162.059914</v>
      </c>
      <c r="J68" s="278">
        <v>162.599529</v>
      </c>
      <c r="K68" s="312">
        <f t="shared" ref="K68:U68" si="56">+J68+K$226</f>
        <v>162.803193068314</v>
      </c>
      <c r="L68" s="312">
        <f t="shared" si="56"/>
        <v>162.881091399236</v>
      </c>
      <c r="M68" s="312">
        <f t="shared" si="56"/>
        <v>162.881091399236</v>
      </c>
      <c r="N68" s="312">
        <f t="shared" si="56"/>
        <v>163.039725621461</v>
      </c>
      <c r="O68" s="312">
        <f t="shared" si="56"/>
        <v>163.188154153886</v>
      </c>
      <c r="P68" s="312">
        <f t="shared" si="56"/>
        <v>163.275150002216</v>
      </c>
      <c r="Q68" s="312">
        <f t="shared" si="56"/>
        <v>163.275150002216</v>
      </c>
      <c r="R68" s="312">
        <f t="shared" si="56"/>
        <v>163.43960565025</v>
      </c>
      <c r="S68" s="312">
        <f t="shared" si="56"/>
        <v>163.609509811375</v>
      </c>
      <c r="T68" s="312">
        <f t="shared" si="56"/>
        <v>163.701417115146</v>
      </c>
      <c r="U68" s="312">
        <f t="shared" si="56"/>
        <v>163.701417115146</v>
      </c>
      <c r="W68" s="312">
        <f t="shared" ref="W68:Z68" si="57">AVERAGEIF($F$26:$U$26,W$26,$F68:$U68)</f>
        <v>153.4876495</v>
      </c>
      <c r="X68" s="312">
        <f t="shared" si="57"/>
        <v>162.791226216696</v>
      </c>
      <c r="Y68" s="312">
        <f t="shared" si="57"/>
        <v>163.194544944945</v>
      </c>
      <c r="Z68" s="312">
        <f t="shared" si="57"/>
        <v>163.612987422979</v>
      </c>
    </row>
    <row r="69" outlineLevel="1"/>
    <row r="70" outlineLevel="1" spans="3:26">
      <c r="C70" s="11" t="s">
        <v>467</v>
      </c>
      <c r="D70" s="279" t="s">
        <v>65</v>
      </c>
      <c r="F70" s="197">
        <f t="shared" ref="F70:U70" si="58">+F206/F68</f>
        <v>1.3901571224544</v>
      </c>
      <c r="G70" s="197">
        <f t="shared" si="58"/>
        <v>1.3606419579365</v>
      </c>
      <c r="H70" s="197">
        <f t="shared" si="58"/>
        <v>1.31450994659873</v>
      </c>
      <c r="I70" s="197">
        <f t="shared" si="58"/>
        <v>1.57581843465621</v>
      </c>
      <c r="J70" s="197">
        <f t="shared" si="58"/>
        <v>1.49923558511661</v>
      </c>
      <c r="K70" s="197">
        <f t="shared" si="58"/>
        <v>1.37494826265091</v>
      </c>
      <c r="L70" s="197">
        <f t="shared" si="58"/>
        <v>1.44889084154215</v>
      </c>
      <c r="M70" s="197">
        <f t="shared" si="58"/>
        <v>1.46553967321307</v>
      </c>
      <c r="N70" s="197">
        <f t="shared" si="58"/>
        <v>1.65633227096622</v>
      </c>
      <c r="O70" s="197">
        <f t="shared" si="58"/>
        <v>1.5118677295251</v>
      </c>
      <c r="P70" s="197">
        <f t="shared" si="58"/>
        <v>1.61190322096849</v>
      </c>
      <c r="Q70" s="197">
        <f t="shared" si="58"/>
        <v>1.63005568102659</v>
      </c>
      <c r="R70" s="197">
        <f t="shared" si="58"/>
        <v>1.86930491428509</v>
      </c>
      <c r="S70" s="197">
        <f t="shared" si="58"/>
        <v>1.70558241844058</v>
      </c>
      <c r="T70" s="197">
        <f t="shared" si="58"/>
        <v>1.79724078696887</v>
      </c>
      <c r="U70" s="197">
        <f t="shared" si="58"/>
        <v>1.83574766305496</v>
      </c>
      <c r="W70" s="197">
        <f t="shared" ref="W70:Z70" si="59">+W206/W68</f>
        <v>5.65297600703697</v>
      </c>
      <c r="X70" s="197">
        <f t="shared" si="59"/>
        <v>5.78855883338274</v>
      </c>
      <c r="Y70" s="197">
        <f t="shared" si="59"/>
        <v>6.4101296368669</v>
      </c>
      <c r="Z70" s="197">
        <f t="shared" si="59"/>
        <v>7.20782217635261</v>
      </c>
    </row>
    <row r="71" outlineLevel="1" spans="3:26">
      <c r="C71" s="11" t="s">
        <v>468</v>
      </c>
      <c r="D71" s="279" t="s">
        <v>65</v>
      </c>
      <c r="F71" s="197">
        <f t="shared" ref="F71:U71" si="60">+F214/F68</f>
        <v>1.20507943985592</v>
      </c>
      <c r="G71" s="197">
        <f t="shared" si="60"/>
        <v>1.21927387949171</v>
      </c>
      <c r="H71" s="197">
        <f t="shared" si="60"/>
        <v>1.19152996883818</v>
      </c>
      <c r="I71" s="197">
        <f t="shared" si="60"/>
        <v>1.4164391078228</v>
      </c>
      <c r="J71" s="197">
        <f t="shared" si="60"/>
        <v>1.29911200419283</v>
      </c>
      <c r="K71" s="197">
        <f t="shared" si="60"/>
        <v>1.23276731799866</v>
      </c>
      <c r="L71" s="197">
        <f t="shared" si="60"/>
        <v>1.32984349170692</v>
      </c>
      <c r="M71" s="197">
        <f t="shared" si="60"/>
        <v>1.30982777419351</v>
      </c>
      <c r="N71" s="197">
        <f t="shared" si="60"/>
        <v>1.43474425039284</v>
      </c>
      <c r="O71" s="197">
        <f t="shared" si="60"/>
        <v>1.36950269911136</v>
      </c>
      <c r="P71" s="197">
        <f t="shared" si="60"/>
        <v>1.46450213225934</v>
      </c>
      <c r="Q71" s="197">
        <f t="shared" si="60"/>
        <v>1.45894742055423</v>
      </c>
      <c r="R71" s="197">
        <f t="shared" si="60"/>
        <v>1.62385650885836</v>
      </c>
      <c r="S71" s="197">
        <f t="shared" si="60"/>
        <v>1.54506290505118</v>
      </c>
      <c r="T71" s="197">
        <f t="shared" si="60"/>
        <v>1.65011141421369</v>
      </c>
      <c r="U71" s="197">
        <f t="shared" si="60"/>
        <v>1.62606186724179</v>
      </c>
      <c r="W71" s="197">
        <f t="shared" ref="W71:Z71" si="61">+W214/W68</f>
        <v>5.043975867257</v>
      </c>
      <c r="X71" s="197">
        <f t="shared" si="61"/>
        <v>5.17156859107904</v>
      </c>
      <c r="Y71" s="197">
        <f t="shared" si="61"/>
        <v>5.72772570965931</v>
      </c>
      <c r="Z71" s="197">
        <f t="shared" si="61"/>
        <v>6.44510975236006</v>
      </c>
    </row>
    <row r="73" spans="2:26">
      <c r="B73" s="254"/>
      <c r="C73" s="254"/>
      <c r="D73" s="255"/>
      <c r="E73" s="256"/>
      <c r="F73" s="257" t="str">
        <f>$F$28</f>
        <v>Historical:</v>
      </c>
      <c r="G73" s="257"/>
      <c r="H73" s="257"/>
      <c r="I73" s="257"/>
      <c r="J73" s="296"/>
      <c r="K73" s="297" t="str">
        <f>$K$28</f>
        <v>Projected:</v>
      </c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W73" s="257" t="str">
        <f>$W$28</f>
        <v>Historical:</v>
      </c>
      <c r="X73" s="297" t="str">
        <f>$X$28</f>
        <v>Projected:</v>
      </c>
      <c r="Y73" s="257"/>
      <c r="Z73" s="257"/>
    </row>
    <row r="74" spans="2:26">
      <c r="B74" s="173" t="s">
        <v>469</v>
      </c>
      <c r="C74" s="173"/>
      <c r="D74" s="174" t="str">
        <f>+$D$5</f>
        <v>Units:</v>
      </c>
      <c r="E74" s="175"/>
      <c r="F74" s="258">
        <f>$F$29</f>
        <v>42460</v>
      </c>
      <c r="G74" s="259">
        <f>$G$29</f>
        <v>42551</v>
      </c>
      <c r="H74" s="260">
        <f>$H$29</f>
        <v>42643</v>
      </c>
      <c r="I74" s="298">
        <f>$I$29</f>
        <v>42735</v>
      </c>
      <c r="J74" s="258">
        <f>$J$29</f>
        <v>42825</v>
      </c>
      <c r="K74" s="299">
        <f>$K$29</f>
        <v>42916</v>
      </c>
      <c r="L74" s="260">
        <f>$L$29</f>
        <v>43008</v>
      </c>
      <c r="M74" s="298">
        <f>$M$29</f>
        <v>43100</v>
      </c>
      <c r="N74" s="258">
        <f>$N$29</f>
        <v>43190</v>
      </c>
      <c r="O74" s="259">
        <f>$O$29</f>
        <v>43281</v>
      </c>
      <c r="P74" s="260">
        <f>$P$29</f>
        <v>43373</v>
      </c>
      <c r="Q74" s="298">
        <f>$Q$29</f>
        <v>43465</v>
      </c>
      <c r="R74" s="258">
        <f>$R$29</f>
        <v>43555</v>
      </c>
      <c r="S74" s="259">
        <f>$S$29</f>
        <v>43646</v>
      </c>
      <c r="T74" s="260">
        <f>$T$29</f>
        <v>43738</v>
      </c>
      <c r="U74" s="298">
        <f>$U$29</f>
        <v>43830</v>
      </c>
      <c r="W74" s="313">
        <f>$W$29</f>
        <v>42735</v>
      </c>
      <c r="X74" s="314">
        <f>$X$29</f>
        <v>43100</v>
      </c>
      <c r="Y74" s="176">
        <f>$Y$29</f>
        <v>43465</v>
      </c>
      <c r="Z74" s="176">
        <f>$Z$29</f>
        <v>43830</v>
      </c>
    </row>
    <row r="75" outlineLevel="1" spans="6:10">
      <c r="F75" s="231"/>
      <c r="G75" s="231"/>
      <c r="H75" s="231"/>
      <c r="I75" s="231"/>
      <c r="J75" s="231"/>
    </row>
    <row r="76" outlineLevel="1" spans="3:26">
      <c r="C76" s="210" t="s">
        <v>470</v>
      </c>
      <c r="D76" s="736" t="s">
        <v>56</v>
      </c>
      <c r="F76" s="315">
        <v>0.018</v>
      </c>
      <c r="G76" s="315">
        <v>-0.003</v>
      </c>
      <c r="H76" s="315">
        <v>-0.01</v>
      </c>
      <c r="I76" s="315">
        <v>-0.013</v>
      </c>
      <c r="J76" s="315">
        <v>-0.001</v>
      </c>
      <c r="K76" s="182">
        <v>-0.002</v>
      </c>
      <c r="L76" s="182">
        <v>-0.005</v>
      </c>
      <c r="M76" s="182">
        <v>-0.01</v>
      </c>
      <c r="N76" s="182">
        <v>0.015</v>
      </c>
      <c r="O76" s="182">
        <v>-0.001</v>
      </c>
      <c r="P76" s="182">
        <v>-0.003</v>
      </c>
      <c r="Q76" s="182">
        <v>-0.008</v>
      </c>
      <c r="R76" s="182">
        <v>0.013</v>
      </c>
      <c r="S76" s="182">
        <v>-0.001</v>
      </c>
      <c r="T76" s="182">
        <v>-0.003</v>
      </c>
      <c r="U76" s="182">
        <v>-0.006</v>
      </c>
      <c r="X76" s="231">
        <f t="shared" ref="X76:Z76" si="62">+X32/W32-1</f>
        <v>0.0170352768959183</v>
      </c>
      <c r="Y76" s="231">
        <f t="shared" si="62"/>
        <v>0.000857513105998686</v>
      </c>
      <c r="Z76" s="231">
        <f t="shared" si="62"/>
        <v>0.00091000588254242</v>
      </c>
    </row>
    <row r="77" outlineLevel="1" spans="3:26">
      <c r="C77" s="11" t="s">
        <v>471</v>
      </c>
      <c r="D77" s="736" t="s">
        <v>56</v>
      </c>
      <c r="F77" s="231">
        <f t="shared" ref="F77:J77" si="63">-F42/F32</f>
        <v>0.500665538574292</v>
      </c>
      <c r="G77" s="231">
        <f t="shared" si="63"/>
        <v>0.51139856115871</v>
      </c>
      <c r="H77" s="231">
        <f t="shared" si="63"/>
        <v>0.521990729026447</v>
      </c>
      <c r="I77" s="231">
        <f t="shared" si="63"/>
        <v>0.52045797394891</v>
      </c>
      <c r="J77" s="231">
        <f t="shared" si="63"/>
        <v>0.500272192336054</v>
      </c>
      <c r="K77" s="182">
        <v>0.51</v>
      </c>
      <c r="L77" s="182">
        <v>0.52</v>
      </c>
      <c r="M77" s="182">
        <v>0.52</v>
      </c>
      <c r="N77" s="182">
        <v>0.5</v>
      </c>
      <c r="O77" s="182">
        <v>0.51</v>
      </c>
      <c r="P77" s="182">
        <v>0.52</v>
      </c>
      <c r="Q77" s="182">
        <v>0.52</v>
      </c>
      <c r="R77" s="182">
        <v>0.5</v>
      </c>
      <c r="S77" s="182">
        <v>0.51</v>
      </c>
      <c r="T77" s="182">
        <v>0.52</v>
      </c>
      <c r="U77" s="182">
        <v>0.52</v>
      </c>
      <c r="W77" s="231">
        <f t="shared" ref="W77:Z77" si="64">-W42/W32</f>
        <v>0.51387380705875</v>
      </c>
      <c r="X77" s="231">
        <f t="shared" si="64"/>
        <v>0.512519022929204</v>
      </c>
      <c r="Y77" s="231">
        <f t="shared" si="64"/>
        <v>0.512380556716093</v>
      </c>
      <c r="Z77" s="231">
        <f t="shared" si="64"/>
        <v>0.512322014856208</v>
      </c>
    </row>
    <row r="78" outlineLevel="1" spans="3:26">
      <c r="C78" s="11" t="s">
        <v>472</v>
      </c>
      <c r="D78" s="736" t="s">
        <v>56</v>
      </c>
      <c r="F78" s="231">
        <f t="shared" ref="F78:J78" si="65">-F34/F42</f>
        <v>0.453245502150034</v>
      </c>
      <c r="G78" s="231">
        <f t="shared" si="65"/>
        <v>0.45740019600421</v>
      </c>
      <c r="H78" s="231">
        <f t="shared" si="65"/>
        <v>0.463724630023704</v>
      </c>
      <c r="I78" s="231">
        <f t="shared" si="65"/>
        <v>0.422778593610824</v>
      </c>
      <c r="J78" s="231">
        <f t="shared" si="65"/>
        <v>0.431749046608598</v>
      </c>
      <c r="K78" s="182">
        <v>0.45</v>
      </c>
      <c r="L78" s="182">
        <v>0.46</v>
      </c>
      <c r="M78" s="182">
        <v>0.42</v>
      </c>
      <c r="N78" s="182">
        <v>0.43</v>
      </c>
      <c r="O78" s="182">
        <v>0.45</v>
      </c>
      <c r="P78" s="182">
        <v>0.46</v>
      </c>
      <c r="Q78" s="182">
        <v>0.42</v>
      </c>
      <c r="R78" s="182">
        <v>0.43</v>
      </c>
      <c r="S78" s="182">
        <v>0.45</v>
      </c>
      <c r="T78" s="182">
        <v>0.46</v>
      </c>
      <c r="U78" s="182">
        <v>0.42</v>
      </c>
      <c r="W78" s="231">
        <f t="shared" ref="W78:Z78" si="66">-W34/W42</f>
        <v>0.44900057528108</v>
      </c>
      <c r="X78" s="231">
        <f t="shared" si="66"/>
        <v>0.440288794859147</v>
      </c>
      <c r="Y78" s="231">
        <f t="shared" si="66"/>
        <v>0.439836002339574</v>
      </c>
      <c r="Z78" s="231">
        <f t="shared" si="66"/>
        <v>0.439815817616182</v>
      </c>
    </row>
    <row r="79" outlineLevel="1" spans="6:26">
      <c r="F79" s="231"/>
      <c r="G79" s="231"/>
      <c r="H79" s="231"/>
      <c r="I79" s="231"/>
      <c r="J79" s="231"/>
      <c r="W79" s="231"/>
      <c r="X79" s="231"/>
      <c r="Y79" s="231"/>
      <c r="Z79" s="231"/>
    </row>
    <row r="80" outlineLevel="1" spans="3:26">
      <c r="C80" s="11" t="s">
        <v>473</v>
      </c>
      <c r="D80" s="736" t="s">
        <v>56</v>
      </c>
      <c r="F80" s="231">
        <f t="shared" ref="F80:U80" si="67">(+F32+F34+F42)/(F32+F34)</f>
        <v>0.591934484985044</v>
      </c>
      <c r="G80" s="231">
        <f t="shared" si="67"/>
        <v>0.58554758015989</v>
      </c>
      <c r="H80" s="231">
        <f t="shared" si="67"/>
        <v>0.579737897681089</v>
      </c>
      <c r="I80" s="231">
        <f t="shared" si="67"/>
        <v>0.573408562021562</v>
      </c>
      <c r="J80" s="231">
        <f t="shared" si="67"/>
        <v>0.588589254681389</v>
      </c>
      <c r="K80" s="231">
        <f t="shared" si="67"/>
        <v>0.585197234648231</v>
      </c>
      <c r="L80" s="231">
        <f t="shared" si="67"/>
        <v>0.580374435119432</v>
      </c>
      <c r="M80" s="231">
        <f t="shared" si="67"/>
        <v>0.573210768220617</v>
      </c>
      <c r="N80" s="231">
        <f t="shared" si="67"/>
        <v>0.588477366255144</v>
      </c>
      <c r="O80" s="231">
        <f t="shared" si="67"/>
        <v>0.585197234648231</v>
      </c>
      <c r="P80" s="231">
        <f t="shared" si="67"/>
        <v>0.580374435119432</v>
      </c>
      <c r="Q80" s="231">
        <f t="shared" si="67"/>
        <v>0.573210768220617</v>
      </c>
      <c r="R80" s="231">
        <f t="shared" si="67"/>
        <v>0.588477366255144</v>
      </c>
      <c r="S80" s="231">
        <f t="shared" si="67"/>
        <v>0.585197234648231</v>
      </c>
      <c r="T80" s="231">
        <f t="shared" si="67"/>
        <v>0.580374435119432</v>
      </c>
      <c r="U80" s="231">
        <f t="shared" si="67"/>
        <v>0.573210768220617</v>
      </c>
      <c r="W80" s="231">
        <f t="shared" ref="W80:Z80" si="68">(+W32+W34+W42)/(W32+W34)</f>
        <v>0.582464098979464</v>
      </c>
      <c r="X80" s="231">
        <f t="shared" si="68"/>
        <v>0.581841183173608</v>
      </c>
      <c r="Y80" s="231">
        <f t="shared" si="68"/>
        <v>0.58185420738581</v>
      </c>
      <c r="Z80" s="231">
        <f t="shared" si="68"/>
        <v>0.581889668132414</v>
      </c>
    </row>
    <row r="81" outlineLevel="1" spans="6:21">
      <c r="F81" s="231"/>
      <c r="G81" s="231"/>
      <c r="H81" s="231"/>
      <c r="I81" s="231"/>
      <c r="J81" s="231"/>
      <c r="K81" s="361"/>
      <c r="L81" s="361"/>
      <c r="M81" s="361"/>
      <c r="N81" s="361"/>
      <c r="O81" s="361"/>
      <c r="P81" s="361"/>
      <c r="Q81" s="361"/>
      <c r="R81" s="361"/>
      <c r="S81" s="361"/>
      <c r="T81" s="361"/>
      <c r="U81" s="361"/>
    </row>
    <row r="82" outlineLevel="1" spans="3:24">
      <c r="C82" s="11" t="s">
        <v>474</v>
      </c>
      <c r="D82" s="181" t="s">
        <v>48</v>
      </c>
      <c r="K82" s="306">
        <v>180</v>
      </c>
      <c r="L82" s="306">
        <v>180</v>
      </c>
      <c r="M82" s="306">
        <v>180</v>
      </c>
      <c r="N82" s="306">
        <v>190</v>
      </c>
      <c r="O82" s="306">
        <v>190</v>
      </c>
      <c r="P82" s="306">
        <v>200</v>
      </c>
      <c r="Q82" s="306">
        <v>200</v>
      </c>
      <c r="R82" s="306">
        <v>215</v>
      </c>
      <c r="S82" s="306">
        <v>215</v>
      </c>
      <c r="T82" s="306">
        <v>215</v>
      </c>
      <c r="U82" s="204">
        <v>215</v>
      </c>
      <c r="X82" s="309"/>
    </row>
    <row r="83" outlineLevel="1" spans="11:11">
      <c r="K83" s="309"/>
    </row>
    <row r="84" outlineLevel="1" spans="3:21">
      <c r="C84" s="11" t="s">
        <v>475</v>
      </c>
      <c r="D84" s="181" t="s">
        <v>48</v>
      </c>
      <c r="K84" s="306">
        <v>120</v>
      </c>
      <c r="L84" s="306">
        <v>130</v>
      </c>
      <c r="M84" s="306">
        <v>140</v>
      </c>
      <c r="N84" s="306">
        <v>135</v>
      </c>
      <c r="O84" s="307">
        <f t="shared" ref="O84:U84" si="69">+K82</f>
        <v>180</v>
      </c>
      <c r="P84" s="307">
        <f t="shared" si="69"/>
        <v>180</v>
      </c>
      <c r="Q84" s="307">
        <f t="shared" si="69"/>
        <v>180</v>
      </c>
      <c r="R84" s="307">
        <f t="shared" si="69"/>
        <v>190</v>
      </c>
      <c r="S84" s="307">
        <f t="shared" si="69"/>
        <v>190</v>
      </c>
      <c r="T84" s="307">
        <f t="shared" si="69"/>
        <v>200</v>
      </c>
      <c r="U84" s="308">
        <f t="shared" si="69"/>
        <v>200</v>
      </c>
    </row>
    <row r="85" outlineLevel="1" spans="3:21">
      <c r="C85" s="11" t="s">
        <v>476</v>
      </c>
      <c r="D85" s="736" t="s">
        <v>56</v>
      </c>
      <c r="K85" s="182">
        <v>0.05</v>
      </c>
      <c r="L85" s="182">
        <v>0.05</v>
      </c>
      <c r="M85" s="182">
        <v>0.05</v>
      </c>
      <c r="N85" s="182">
        <v>0.055</v>
      </c>
      <c r="O85" s="182">
        <v>0.055</v>
      </c>
      <c r="P85" s="182">
        <v>0.055</v>
      </c>
      <c r="Q85" s="182">
        <v>0.055</v>
      </c>
      <c r="R85" s="182">
        <v>0.06</v>
      </c>
      <c r="S85" s="182">
        <v>0.06</v>
      </c>
      <c r="T85" s="182">
        <v>0.06</v>
      </c>
      <c r="U85" s="182">
        <v>0.06</v>
      </c>
    </row>
    <row r="86" outlineLevel="1" spans="3:26">
      <c r="C86" s="11" t="s">
        <v>477</v>
      </c>
      <c r="D86" s="181" t="s">
        <v>48</v>
      </c>
      <c r="K86" s="309">
        <f t="shared" ref="K86:U86" si="70">+K84*K85</f>
        <v>6</v>
      </c>
      <c r="L86" s="309">
        <f t="shared" si="70"/>
        <v>6.5</v>
      </c>
      <c r="M86" s="309">
        <f t="shared" si="70"/>
        <v>7</v>
      </c>
      <c r="N86" s="309">
        <f t="shared" si="70"/>
        <v>7.425</v>
      </c>
      <c r="O86" s="309">
        <f t="shared" si="70"/>
        <v>9.9</v>
      </c>
      <c r="P86" s="309">
        <f t="shared" si="70"/>
        <v>9.9</v>
      </c>
      <c r="Q86" s="309">
        <f t="shared" si="70"/>
        <v>9.9</v>
      </c>
      <c r="R86" s="309">
        <f t="shared" si="70"/>
        <v>11.4</v>
      </c>
      <c r="S86" s="309">
        <f t="shared" si="70"/>
        <v>11.4</v>
      </c>
      <c r="T86" s="309">
        <f t="shared" si="70"/>
        <v>12</v>
      </c>
      <c r="U86" s="309">
        <f t="shared" si="70"/>
        <v>12</v>
      </c>
      <c r="W86" s="309"/>
      <c r="X86" s="309"/>
      <c r="Y86" s="309"/>
      <c r="Z86" s="309"/>
    </row>
    <row r="87" outlineLevel="1" spans="14:21">
      <c r="N87" s="271"/>
      <c r="R87" s="271"/>
      <c r="U87" s="271"/>
    </row>
    <row r="88" outlineLevel="1" spans="3:26">
      <c r="C88" s="11" t="s">
        <v>478</v>
      </c>
      <c r="D88" s="181" t="s">
        <v>48</v>
      </c>
      <c r="K88" s="309">
        <f t="shared" ref="K88:U88" si="71">+K86/K80</f>
        <v>10.2529534398888</v>
      </c>
      <c r="L88" s="309">
        <f t="shared" si="71"/>
        <v>11.1996662958843</v>
      </c>
      <c r="M88" s="309">
        <f t="shared" si="71"/>
        <v>12.2119129438717</v>
      </c>
      <c r="N88" s="309">
        <f t="shared" si="71"/>
        <v>12.6173076923077</v>
      </c>
      <c r="O88" s="309">
        <f t="shared" si="71"/>
        <v>16.9173731758165</v>
      </c>
      <c r="P88" s="309">
        <f t="shared" si="71"/>
        <v>17.0579532814238</v>
      </c>
      <c r="Q88" s="309">
        <f t="shared" si="71"/>
        <v>17.2711340206186</v>
      </c>
      <c r="R88" s="309">
        <f t="shared" si="71"/>
        <v>19.372027972028</v>
      </c>
      <c r="S88" s="309">
        <f t="shared" si="71"/>
        <v>19.4806115357887</v>
      </c>
      <c r="T88" s="309">
        <f t="shared" si="71"/>
        <v>20.6763070077864</v>
      </c>
      <c r="U88" s="309">
        <f t="shared" si="71"/>
        <v>20.9347079037801</v>
      </c>
      <c r="W88" s="309"/>
      <c r="X88" s="309"/>
      <c r="Y88" s="309"/>
      <c r="Z88" s="309"/>
    </row>
    <row r="89" outlineLevel="1" spans="3:26">
      <c r="C89" s="11" t="s">
        <v>479</v>
      </c>
      <c r="D89" s="181" t="s">
        <v>48</v>
      </c>
      <c r="K89" s="309">
        <f t="shared" ref="K89:U89" si="72">+K88-K86</f>
        <v>4.25295343988881</v>
      </c>
      <c r="L89" s="309">
        <f t="shared" si="72"/>
        <v>4.69966629588432</v>
      </c>
      <c r="M89" s="309">
        <f t="shared" si="72"/>
        <v>5.21191294387171</v>
      </c>
      <c r="N89" s="309">
        <f t="shared" si="72"/>
        <v>5.19230769230769</v>
      </c>
      <c r="O89" s="309">
        <f t="shared" si="72"/>
        <v>7.01737317581654</v>
      </c>
      <c r="P89" s="309">
        <f t="shared" si="72"/>
        <v>7.15795328142381</v>
      </c>
      <c r="Q89" s="309">
        <f t="shared" si="72"/>
        <v>7.37113402061856</v>
      </c>
      <c r="R89" s="309">
        <f t="shared" si="72"/>
        <v>7.97202797202797</v>
      </c>
      <c r="S89" s="309">
        <f t="shared" si="72"/>
        <v>8.08061153578874</v>
      </c>
      <c r="T89" s="309">
        <f t="shared" si="72"/>
        <v>8.67630700778643</v>
      </c>
      <c r="U89" s="309">
        <f t="shared" si="72"/>
        <v>8.93470790378007</v>
      </c>
      <c r="W89" s="309"/>
      <c r="X89" s="309"/>
      <c r="Y89" s="309"/>
      <c r="Z89" s="309"/>
    </row>
    <row r="90" outlineLevel="1" spans="3:26">
      <c r="C90" s="11" t="s">
        <v>480</v>
      </c>
      <c r="D90" s="181" t="s">
        <v>48</v>
      </c>
      <c r="K90" s="309">
        <f t="shared" ref="K90:U90" si="73">+K89*K78</f>
        <v>1.91382904794997</v>
      </c>
      <c r="L90" s="309">
        <f t="shared" si="73"/>
        <v>2.16184649610679</v>
      </c>
      <c r="M90" s="309">
        <f t="shared" si="73"/>
        <v>2.18900343642612</v>
      </c>
      <c r="N90" s="309">
        <f t="shared" si="73"/>
        <v>2.23269230769231</v>
      </c>
      <c r="O90" s="309">
        <f t="shared" si="73"/>
        <v>3.15781792911744</v>
      </c>
      <c r="P90" s="309">
        <f t="shared" si="73"/>
        <v>3.29265850945495</v>
      </c>
      <c r="Q90" s="309">
        <f t="shared" si="73"/>
        <v>3.0958762886598</v>
      </c>
      <c r="R90" s="309">
        <f t="shared" si="73"/>
        <v>3.42797202797203</v>
      </c>
      <c r="S90" s="309">
        <f t="shared" si="73"/>
        <v>3.63627519110493</v>
      </c>
      <c r="T90" s="309">
        <f t="shared" si="73"/>
        <v>3.99110122358176</v>
      </c>
      <c r="U90" s="309">
        <f t="shared" si="73"/>
        <v>3.75257731958763</v>
      </c>
      <c r="W90" s="309"/>
      <c r="X90" s="309"/>
      <c r="Y90" s="309"/>
      <c r="Z90" s="309"/>
    </row>
    <row r="91" outlineLevel="1" spans="3:26">
      <c r="C91" s="11" t="s">
        <v>481</v>
      </c>
      <c r="D91" s="181" t="s">
        <v>48</v>
      </c>
      <c r="K91" s="309">
        <f t="shared" ref="K91:U91" si="74">+K88-K90</f>
        <v>8.33912439193885</v>
      </c>
      <c r="L91" s="309">
        <f t="shared" si="74"/>
        <v>9.03781979977753</v>
      </c>
      <c r="M91" s="309">
        <f t="shared" si="74"/>
        <v>10.0229095074456</v>
      </c>
      <c r="N91" s="309">
        <f t="shared" si="74"/>
        <v>10.3846153846154</v>
      </c>
      <c r="O91" s="309">
        <f t="shared" si="74"/>
        <v>13.7595552466991</v>
      </c>
      <c r="P91" s="309">
        <f t="shared" si="74"/>
        <v>13.7652947719689</v>
      </c>
      <c r="Q91" s="309">
        <f t="shared" si="74"/>
        <v>14.1752577319588</v>
      </c>
      <c r="R91" s="309">
        <f t="shared" si="74"/>
        <v>15.9440559440559</v>
      </c>
      <c r="S91" s="309">
        <f t="shared" si="74"/>
        <v>15.8443363446838</v>
      </c>
      <c r="T91" s="309">
        <f t="shared" si="74"/>
        <v>16.6852057842047</v>
      </c>
      <c r="U91" s="309">
        <f t="shared" si="74"/>
        <v>17.1821305841924</v>
      </c>
      <c r="W91" s="309"/>
      <c r="X91" s="309"/>
      <c r="Y91" s="309"/>
      <c r="Z91" s="309"/>
    </row>
    <row r="92" outlineLevel="1" spans="6:10">
      <c r="F92" s="231"/>
      <c r="G92" s="231"/>
      <c r="H92" s="231"/>
      <c r="I92" s="231"/>
      <c r="J92" s="231"/>
    </row>
    <row r="93" outlineLevel="1" spans="3:26">
      <c r="C93" s="316" t="s">
        <v>482</v>
      </c>
      <c r="D93" s="736" t="s">
        <v>56</v>
      </c>
      <c r="F93" s="231">
        <f t="shared" ref="F93:J93" si="75">+F36/SUM(F32:F33)</f>
        <v>0.0048473841908991</v>
      </c>
      <c r="G93" s="231">
        <f t="shared" si="75"/>
        <v>0.00331734326149734</v>
      </c>
      <c r="H93" s="231">
        <f t="shared" si="75"/>
        <v>0.00383844620102628</v>
      </c>
      <c r="I93" s="231">
        <f t="shared" si="75"/>
        <v>0.0043050954488275</v>
      </c>
      <c r="J93" s="231">
        <f t="shared" si="75"/>
        <v>0.00468913160746896</v>
      </c>
      <c r="K93" s="182">
        <v>0.003</v>
      </c>
      <c r="L93" s="182">
        <v>0.004</v>
      </c>
      <c r="M93" s="182">
        <v>0.004</v>
      </c>
      <c r="N93" s="182">
        <v>0.005</v>
      </c>
      <c r="O93" s="182">
        <v>0.003</v>
      </c>
      <c r="P93" s="182">
        <v>0.004</v>
      </c>
      <c r="Q93" s="182">
        <v>0.004</v>
      </c>
      <c r="R93" s="182">
        <v>0.005</v>
      </c>
      <c r="S93" s="182">
        <v>0.003</v>
      </c>
      <c r="T93" s="182">
        <v>0.004</v>
      </c>
      <c r="U93" s="182">
        <v>0.004</v>
      </c>
      <c r="W93" s="231">
        <f t="shared" ref="W93:Z93" si="76">+W36/SUM(W32:W33)</f>
        <v>0.00407452523839376</v>
      </c>
      <c r="X93" s="231">
        <f t="shared" si="76"/>
        <v>0.00393452269382037</v>
      </c>
      <c r="Y93" s="231">
        <f t="shared" si="76"/>
        <v>0.00401133426209741</v>
      </c>
      <c r="Z93" s="231">
        <f t="shared" si="76"/>
        <v>0.00401173539543547</v>
      </c>
    </row>
    <row r="94" outlineLevel="1" spans="3:26">
      <c r="C94" s="11" t="s">
        <v>483</v>
      </c>
      <c r="D94" s="736" t="s">
        <v>56</v>
      </c>
      <c r="F94" s="231">
        <f>+F37/1.362-1</f>
        <v>33.4809104258443</v>
      </c>
      <c r="G94" s="231">
        <f>+G37/1.463-1</f>
        <v>32.0574162679426</v>
      </c>
      <c r="H94" s="231">
        <f>+H37/1.651-1</f>
        <v>31.6450635978195</v>
      </c>
      <c r="I94" s="231">
        <f>+I37/41.746-1</f>
        <v>0.319743208930197</v>
      </c>
      <c r="J94" s="231">
        <f>+J37/F37-1</f>
        <v>0.218512445968102</v>
      </c>
      <c r="K94" s="182">
        <v>0.15</v>
      </c>
      <c r="L94" s="182">
        <v>0.15</v>
      </c>
      <c r="M94" s="182">
        <v>0.125</v>
      </c>
      <c r="N94" s="182">
        <v>0.125</v>
      </c>
      <c r="O94" s="182">
        <v>0.1</v>
      </c>
      <c r="P94" s="182">
        <v>0.1</v>
      </c>
      <c r="Q94" s="182">
        <v>0.075</v>
      </c>
      <c r="R94" s="182">
        <v>0.075</v>
      </c>
      <c r="S94" s="182">
        <v>0.05</v>
      </c>
      <c r="T94" s="182">
        <v>0.05</v>
      </c>
      <c r="U94" s="182">
        <v>0.05</v>
      </c>
      <c r="X94" s="231">
        <f t="shared" ref="X94:Z94" si="77">+X37/W37-1</f>
        <v>0.159006592696643</v>
      </c>
      <c r="Y94" s="231">
        <f t="shared" si="77"/>
        <v>0.0994979249782788</v>
      </c>
      <c r="Z94" s="231">
        <f t="shared" si="77"/>
        <v>0.0561814948087684</v>
      </c>
    </row>
    <row r="95" outlineLevel="1" spans="6:26">
      <c r="F95" s="231"/>
      <c r="G95" s="231"/>
      <c r="H95" s="231"/>
      <c r="I95" s="231"/>
      <c r="J95" s="231"/>
      <c r="X95" s="231"/>
      <c r="Y95" s="231"/>
      <c r="Z95" s="231"/>
    </row>
    <row r="96" outlineLevel="1" spans="3:26">
      <c r="C96" s="316" t="s">
        <v>484</v>
      </c>
      <c r="D96" s="736" t="s">
        <v>56</v>
      </c>
      <c r="F96" s="231">
        <f t="shared" ref="F96:J96" si="78">-F44/F$39</f>
        <v>0.0619913962542568</v>
      </c>
      <c r="G96" s="231">
        <f t="shared" si="78"/>
        <v>0.0663949166300924</v>
      </c>
      <c r="H96" s="231">
        <f t="shared" si="78"/>
        <v>0.0844510180434309</v>
      </c>
      <c r="I96" s="231">
        <f t="shared" si="78"/>
        <v>0.0713486954456324</v>
      </c>
      <c r="J96" s="231">
        <f t="shared" si="78"/>
        <v>0.062929442086278</v>
      </c>
      <c r="K96" s="182">
        <v>0.065</v>
      </c>
      <c r="L96" s="182">
        <v>0.08</v>
      </c>
      <c r="M96" s="182">
        <v>0.07</v>
      </c>
      <c r="N96" s="182">
        <v>0.06</v>
      </c>
      <c r="O96" s="182">
        <v>0.065</v>
      </c>
      <c r="P96" s="182">
        <v>0.08</v>
      </c>
      <c r="Q96" s="182">
        <v>0.07</v>
      </c>
      <c r="R96" s="182">
        <v>0.06</v>
      </c>
      <c r="S96" s="182">
        <v>0.065</v>
      </c>
      <c r="T96" s="182">
        <v>0.08</v>
      </c>
      <c r="U96" s="182">
        <v>0.07</v>
      </c>
      <c r="W96" s="231">
        <f t="shared" ref="W96:Z96" si="79">-W44/W$39</f>
        <v>0.0712968318276474</v>
      </c>
      <c r="X96" s="231">
        <f t="shared" si="79"/>
        <v>0.0696334801279323</v>
      </c>
      <c r="Y96" s="231">
        <f t="shared" si="79"/>
        <v>0.0689142608238426</v>
      </c>
      <c r="Z96" s="231">
        <f t="shared" si="79"/>
        <v>0.0688904733612461</v>
      </c>
    </row>
    <row r="97" outlineLevel="1" spans="3:26">
      <c r="C97" s="316" t="s">
        <v>485</v>
      </c>
      <c r="D97" s="736" t="s">
        <v>56</v>
      </c>
      <c r="F97" s="231">
        <f t="shared" ref="F97:J97" si="80">-F45/F$39</f>
        <v>0.335216848902913</v>
      </c>
      <c r="G97" s="231">
        <f t="shared" si="80"/>
        <v>0.341002924646654</v>
      </c>
      <c r="H97" s="231">
        <f t="shared" si="80"/>
        <v>0.326075933610718</v>
      </c>
      <c r="I97" s="231">
        <f t="shared" si="80"/>
        <v>0.306145942956412</v>
      </c>
      <c r="J97" s="231">
        <f t="shared" si="80"/>
        <v>0.320515684682574</v>
      </c>
      <c r="K97" s="182">
        <v>0.34</v>
      </c>
      <c r="L97" s="182">
        <v>0.33</v>
      </c>
      <c r="M97" s="182">
        <v>0.31</v>
      </c>
      <c r="N97" s="182">
        <v>0.325</v>
      </c>
      <c r="O97" s="182">
        <v>0.34</v>
      </c>
      <c r="P97" s="182">
        <v>0.33</v>
      </c>
      <c r="Q97" s="182">
        <v>0.31</v>
      </c>
      <c r="R97" s="182">
        <v>0.325</v>
      </c>
      <c r="S97" s="182">
        <v>0.34</v>
      </c>
      <c r="T97" s="182">
        <v>0.33</v>
      </c>
      <c r="U97" s="182">
        <v>0.31</v>
      </c>
      <c r="W97" s="231">
        <f t="shared" ref="W97:Z97" si="81">-W45/W$39</f>
        <v>0.326449330668799</v>
      </c>
      <c r="X97" s="231">
        <f t="shared" si="81"/>
        <v>0.324847129248306</v>
      </c>
      <c r="Y97" s="231">
        <f t="shared" si="81"/>
        <v>0.325946485274346</v>
      </c>
      <c r="Z97" s="231">
        <f t="shared" si="81"/>
        <v>0.325951935225053</v>
      </c>
    </row>
    <row r="98" outlineLevel="1"/>
    <row r="99" outlineLevel="1" spans="3:26">
      <c r="C99" s="210" t="s">
        <v>486</v>
      </c>
      <c r="D99" s="736" t="s">
        <v>56</v>
      </c>
      <c r="F99" s="231"/>
      <c r="G99" s="231">
        <f>-G53/F128*Num_Periods</f>
        <v>0.0410828475505666</v>
      </c>
      <c r="H99" s="231">
        <f>-H53/G128*Num_Periods</f>
        <v>0.0408963970762489</v>
      </c>
      <c r="I99" s="231">
        <f>-I53/H128*Num_Periods</f>
        <v>0.0379725300652101</v>
      </c>
      <c r="J99" s="231">
        <f>-J53/I128*Num_Periods</f>
        <v>0.0378850640229767</v>
      </c>
      <c r="K99" s="182">
        <v>0.038</v>
      </c>
      <c r="L99" s="182">
        <v>0.039</v>
      </c>
      <c r="M99" s="182">
        <v>0.04</v>
      </c>
      <c r="N99" s="182">
        <v>0.04</v>
      </c>
      <c r="O99" s="182">
        <v>0.041</v>
      </c>
      <c r="P99" s="182">
        <v>0.041</v>
      </c>
      <c r="Q99" s="182">
        <v>0.042</v>
      </c>
      <c r="R99" s="182">
        <v>0.043</v>
      </c>
      <c r="S99" s="182">
        <v>0.043</v>
      </c>
      <c r="T99" s="182">
        <v>0.044</v>
      </c>
      <c r="U99" s="182">
        <v>0.044</v>
      </c>
      <c r="X99" s="231">
        <f t="shared" ref="X99:Z99" si="82">-X53/W128</f>
        <v>0.0414118932423437</v>
      </c>
      <c r="Y99" s="231">
        <f t="shared" si="82"/>
        <v>0.0424560792313249</v>
      </c>
      <c r="Z99" s="231">
        <f t="shared" si="82"/>
        <v>0.0450558661550197</v>
      </c>
    </row>
    <row r="100" outlineLevel="1" spans="3:26">
      <c r="C100" s="11" t="s">
        <v>487</v>
      </c>
      <c r="D100" s="736" t="s">
        <v>56</v>
      </c>
      <c r="F100" s="231"/>
      <c r="G100" s="231">
        <f>-G61/F134*Num_Periods</f>
        <v>0.0695245071252233</v>
      </c>
      <c r="H100" s="231">
        <f>-H61/G134*Num_Periods</f>
        <v>0.0667528076562649</v>
      </c>
      <c r="I100" s="231">
        <f>-I61/H134*Num_Periods</f>
        <v>0.0686818149958389</v>
      </c>
      <c r="J100" s="231">
        <f>-J61/I134*Num_Periods</f>
        <v>0.0686818149958389</v>
      </c>
      <c r="K100" s="182">
        <v>0.07</v>
      </c>
      <c r="L100" s="182">
        <v>0.07</v>
      </c>
      <c r="M100" s="182">
        <v>0.07</v>
      </c>
      <c r="N100" s="182">
        <v>0.07</v>
      </c>
      <c r="O100" s="182">
        <v>0.07</v>
      </c>
      <c r="P100" s="182">
        <v>0.07</v>
      </c>
      <c r="Q100" s="182">
        <v>0.07</v>
      </c>
      <c r="R100" s="182">
        <v>0.07</v>
      </c>
      <c r="S100" s="182">
        <v>0.07</v>
      </c>
      <c r="T100" s="182">
        <v>0.07</v>
      </c>
      <c r="U100" s="182">
        <v>0.07</v>
      </c>
      <c r="X100" s="231">
        <f t="shared" ref="X100:Z100" si="83">-X61/W134</f>
        <v>0.0696704537489597</v>
      </c>
      <c r="Y100" s="231">
        <f t="shared" si="83"/>
        <v>0.07</v>
      </c>
      <c r="Z100" s="231">
        <f t="shared" si="83"/>
        <v>0.07</v>
      </c>
    </row>
    <row r="101" outlineLevel="1"/>
    <row r="102" outlineLevel="1" spans="3:26">
      <c r="C102" s="210" t="s">
        <v>488</v>
      </c>
      <c r="D102" s="736" t="s">
        <v>56</v>
      </c>
      <c r="F102" s="231">
        <f t="shared" ref="F102:J102" si="84">-F57/F56</f>
        <v>0.0327271034418547</v>
      </c>
      <c r="G102" s="231">
        <f t="shared" si="84"/>
        <v>0.0423340100759456</v>
      </c>
      <c r="H102" s="231">
        <f t="shared" si="84"/>
        <v>0.0164488956688997</v>
      </c>
      <c r="I102" s="231">
        <f t="shared" si="84"/>
        <v>0.0234041688675795</v>
      </c>
      <c r="J102" s="231">
        <f t="shared" si="84"/>
        <v>0.025614730486484</v>
      </c>
      <c r="K102" s="320">
        <f t="shared" ref="K102:U102" si="85">+G102</f>
        <v>0.0423340100759456</v>
      </c>
      <c r="L102" s="320">
        <f t="shared" si="85"/>
        <v>0.0164488956688997</v>
      </c>
      <c r="M102" s="320">
        <f t="shared" si="85"/>
        <v>0.0234041688675795</v>
      </c>
      <c r="N102" s="320">
        <f t="shared" si="85"/>
        <v>0.025614730486484</v>
      </c>
      <c r="O102" s="320">
        <f t="shared" si="85"/>
        <v>0.0423340100759456</v>
      </c>
      <c r="P102" s="320">
        <f t="shared" si="85"/>
        <v>0.0164488956688997</v>
      </c>
      <c r="Q102" s="320">
        <f t="shared" si="85"/>
        <v>0.0234041688675795</v>
      </c>
      <c r="R102" s="320">
        <f t="shared" si="85"/>
        <v>0.025614730486484</v>
      </c>
      <c r="S102" s="320">
        <f t="shared" si="85"/>
        <v>0.0423340100759456</v>
      </c>
      <c r="T102" s="320">
        <f t="shared" si="85"/>
        <v>0.0164488956688997</v>
      </c>
      <c r="U102" s="320">
        <f t="shared" si="85"/>
        <v>0.0234041688675795</v>
      </c>
      <c r="W102" s="231">
        <f t="shared" ref="W102:Z102" si="86">-W57/W56</f>
        <v>0.0234828836121808</v>
      </c>
      <c r="X102" s="231">
        <f t="shared" si="86"/>
        <v>0.0266322230464475</v>
      </c>
      <c r="Y102" s="231">
        <f t="shared" si="86"/>
        <v>0.0265029087683967</v>
      </c>
      <c r="Z102" s="231">
        <f t="shared" si="86"/>
        <v>0.0265638137360677</v>
      </c>
    </row>
    <row r="103" outlineLevel="1"/>
    <row r="104" outlineLevel="1" spans="3:26">
      <c r="C104" s="11" t="s">
        <v>489</v>
      </c>
      <c r="D104" s="736" t="s">
        <v>56</v>
      </c>
      <c r="F104" s="231">
        <f>+F51/4.618-1</f>
        <v>-0.116933737548722</v>
      </c>
      <c r="G104" s="231">
        <f>+G51/3.383-1</f>
        <v>0.221401123263376</v>
      </c>
      <c r="H104" s="231">
        <f>+H51/4.169-1</f>
        <v>-0.00407771647877175</v>
      </c>
      <c r="I104" s="231">
        <f>+I51/(15.491-12.17)-1</f>
        <v>0.427883167720566</v>
      </c>
      <c r="J104" s="231">
        <f>+J51/F51-1</f>
        <v>0.305541932319765</v>
      </c>
      <c r="K104" s="182">
        <v>0.2</v>
      </c>
      <c r="L104" s="182">
        <v>0.15</v>
      </c>
      <c r="M104" s="182">
        <v>0.1</v>
      </c>
      <c r="N104" s="182">
        <v>0.05</v>
      </c>
      <c r="O104" s="182">
        <v>0.05</v>
      </c>
      <c r="P104" s="182">
        <v>0.05</v>
      </c>
      <c r="Q104" s="182">
        <v>0.05</v>
      </c>
      <c r="R104" s="182">
        <v>0.05</v>
      </c>
      <c r="S104" s="182">
        <v>0.05</v>
      </c>
      <c r="T104" s="182">
        <v>0.05</v>
      </c>
      <c r="U104" s="182">
        <v>0.05</v>
      </c>
      <c r="X104" s="231">
        <f t="shared" ref="X104:Z104" si="87">+X51/W51-1</f>
        <v>0.185301683816651</v>
      </c>
      <c r="Y104" s="231">
        <f t="shared" si="87"/>
        <v>0.05</v>
      </c>
      <c r="Z104" s="231">
        <f t="shared" si="87"/>
        <v>0.05</v>
      </c>
    </row>
    <row r="105" outlineLevel="1" spans="3:26">
      <c r="C105" s="11" t="s">
        <v>490</v>
      </c>
      <c r="D105" s="736" t="s">
        <v>56</v>
      </c>
      <c r="F105" s="231">
        <f>+F59/-2.1-1</f>
        <v>-0.626666666666667</v>
      </c>
      <c r="G105" s="231">
        <f>+G59/-2.5-1</f>
        <v>-0.7724</v>
      </c>
      <c r="H105" s="231">
        <f>+H59/-0.9-1</f>
        <v>2.60777777777778</v>
      </c>
      <c r="I105" s="231">
        <f>+I59/0.6-1</f>
        <v>-2.775</v>
      </c>
      <c r="J105" s="231">
        <f>+J59/F59-1</f>
        <v>0.307397959183673</v>
      </c>
      <c r="K105" s="182">
        <v>0.2</v>
      </c>
      <c r="L105" s="182">
        <v>0.15</v>
      </c>
      <c r="M105" s="182">
        <v>0.1</v>
      </c>
      <c r="N105" s="182">
        <v>0.05</v>
      </c>
      <c r="O105" s="182">
        <v>0.05</v>
      </c>
      <c r="P105" s="182">
        <v>0.05</v>
      </c>
      <c r="Q105" s="182">
        <v>0.05</v>
      </c>
      <c r="R105" s="182">
        <v>0.05</v>
      </c>
      <c r="S105" s="182">
        <v>0.05</v>
      </c>
      <c r="T105" s="182">
        <v>0.05</v>
      </c>
      <c r="U105" s="182">
        <v>0.05</v>
      </c>
      <c r="X105" s="231">
        <f t="shared" ref="X105:Z105" si="88">+X59/W59-1</f>
        <v>0.0930008826125333</v>
      </c>
      <c r="Y105" s="231">
        <f t="shared" si="88"/>
        <v>-0.375080549431915</v>
      </c>
      <c r="Z105" s="231">
        <f t="shared" si="88"/>
        <v>0.832772071693147</v>
      </c>
    </row>
    <row r="107" spans="2:26">
      <c r="B107" s="254"/>
      <c r="C107" s="254"/>
      <c r="D107" s="255"/>
      <c r="E107" s="256"/>
      <c r="F107" s="257" t="str">
        <f>$F$28</f>
        <v>Historical:</v>
      </c>
      <c r="G107" s="257"/>
      <c r="H107" s="257"/>
      <c r="I107" s="257"/>
      <c r="J107" s="296"/>
      <c r="K107" s="297" t="str">
        <f>$K$28</f>
        <v>Projected:</v>
      </c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W107" s="257" t="str">
        <f>$W$28</f>
        <v>Historical:</v>
      </c>
      <c r="X107" s="297" t="str">
        <f>$X$28</f>
        <v>Projected:</v>
      </c>
      <c r="Y107" s="257"/>
      <c r="Z107" s="257"/>
    </row>
    <row r="108" spans="2:26">
      <c r="B108" s="173" t="s">
        <v>246</v>
      </c>
      <c r="C108" s="173"/>
      <c r="D108" s="174" t="str">
        <f>+$D$5</f>
        <v>Units:</v>
      </c>
      <c r="E108" s="175"/>
      <c r="F108" s="258">
        <f>$F$29</f>
        <v>42460</v>
      </c>
      <c r="G108" s="259">
        <f>$G$29</f>
        <v>42551</v>
      </c>
      <c r="H108" s="260">
        <f>$H$29</f>
        <v>42643</v>
      </c>
      <c r="I108" s="298">
        <f>$I$29</f>
        <v>42735</v>
      </c>
      <c r="J108" s="258">
        <f>$J$29</f>
        <v>42825</v>
      </c>
      <c r="K108" s="299">
        <f>$K$29</f>
        <v>42916</v>
      </c>
      <c r="L108" s="260">
        <f>$L$29</f>
        <v>43008</v>
      </c>
      <c r="M108" s="298">
        <f>$M$29</f>
        <v>43100</v>
      </c>
      <c r="N108" s="258">
        <f>$N$29</f>
        <v>43190</v>
      </c>
      <c r="O108" s="259">
        <f>$O$29</f>
        <v>43281</v>
      </c>
      <c r="P108" s="260">
        <f>$P$29</f>
        <v>43373</v>
      </c>
      <c r="Q108" s="298">
        <f>$Q$29</f>
        <v>43465</v>
      </c>
      <c r="R108" s="258">
        <f>$R$29</f>
        <v>43555</v>
      </c>
      <c r="S108" s="259">
        <f>$S$29</f>
        <v>43646</v>
      </c>
      <c r="T108" s="260">
        <f>$T$29</f>
        <v>43738</v>
      </c>
      <c r="U108" s="298">
        <f>$U$29</f>
        <v>43830</v>
      </c>
      <c r="W108" s="313">
        <f>$W$29</f>
        <v>42735</v>
      </c>
      <c r="X108" s="314">
        <f>$X$29</f>
        <v>43100</v>
      </c>
      <c r="Y108" s="176">
        <f>$Y$29</f>
        <v>43465</v>
      </c>
      <c r="Z108" s="176">
        <f>$Z$29</f>
        <v>43830</v>
      </c>
    </row>
    <row r="109" outlineLevel="1" spans="2:26">
      <c r="B109" s="177" t="s">
        <v>247</v>
      </c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W109" s="178"/>
      <c r="X109" s="178"/>
      <c r="Y109" s="178"/>
      <c r="Z109" s="178"/>
    </row>
    <row r="110" outlineLevel="1" spans="2:21">
      <c r="B110" s="179"/>
      <c r="C110" s="193" t="s">
        <v>248</v>
      </c>
      <c r="D110" s="180"/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180"/>
      <c r="Q110" s="180"/>
      <c r="R110" s="180"/>
      <c r="S110" s="180"/>
      <c r="T110" s="180"/>
      <c r="U110" s="180"/>
    </row>
    <row r="111" outlineLevel="1" spans="3:26">
      <c r="C111" s="51" t="s">
        <v>249</v>
      </c>
      <c r="D111" s="181" t="s">
        <v>48</v>
      </c>
      <c r="F111" s="263">
        <v>10226.549</v>
      </c>
      <c r="G111" s="263">
        <v>10223.946</v>
      </c>
      <c r="H111" s="263">
        <v>10607.44</v>
      </c>
      <c r="I111" s="263">
        <v>10630.514</v>
      </c>
      <c r="J111" s="263">
        <v>10858.628</v>
      </c>
      <c r="K111" s="301">
        <f t="shared" ref="K111:U111" si="89">+J111-K169-K170-K172-K173+K84</f>
        <v>10992.8776363191</v>
      </c>
      <c r="L111" s="301">
        <f t="shared" si="89"/>
        <v>11135.2267207484</v>
      </c>
      <c r="M111" s="301">
        <f t="shared" si="89"/>
        <v>11293.6091011971</v>
      </c>
      <c r="N111" s="301">
        <f t="shared" si="89"/>
        <v>11457.6109238062</v>
      </c>
      <c r="O111" s="301">
        <f t="shared" si="89"/>
        <v>11654.3511681817</v>
      </c>
      <c r="P111" s="301">
        <f t="shared" si="89"/>
        <v>11849.0138715497</v>
      </c>
      <c r="Q111" s="301">
        <f t="shared" si="89"/>
        <v>12050.4013616308</v>
      </c>
      <c r="R111" s="301">
        <f t="shared" si="89"/>
        <v>12274.4393258803</v>
      </c>
      <c r="S111" s="301">
        <f t="shared" si="89"/>
        <v>12484.4315143063</v>
      </c>
      <c r="T111" s="301">
        <f t="shared" si="89"/>
        <v>12701.9621958323</v>
      </c>
      <c r="U111" s="301">
        <f t="shared" si="89"/>
        <v>12927.1112547655</v>
      </c>
      <c r="W111" s="301">
        <f t="shared" ref="W111:Z111" si="90">INDEX($F111:$U111,1,MATCH(W$108,$F$108:$U$108,0))</f>
        <v>10630.514</v>
      </c>
      <c r="X111" s="301">
        <f t="shared" si="90"/>
        <v>11293.6091011971</v>
      </c>
      <c r="Y111" s="301">
        <f t="shared" si="90"/>
        <v>12050.4013616308</v>
      </c>
      <c r="Z111" s="301">
        <f t="shared" si="90"/>
        <v>12927.1112547655</v>
      </c>
    </row>
    <row r="112" outlineLevel="1" spans="3:26">
      <c r="C112" s="51" t="s">
        <v>250</v>
      </c>
      <c r="D112" s="200" t="s">
        <v>48</v>
      </c>
      <c r="F112" s="264">
        <v>876.362999999999</v>
      </c>
      <c r="G112" s="264">
        <v>756.700000000001</v>
      </c>
      <c r="H112" s="264">
        <v>904.424999999999</v>
      </c>
      <c r="I112" s="264">
        <v>927.955</v>
      </c>
      <c r="J112" s="264">
        <v>1010.377</v>
      </c>
      <c r="K112" s="302">
        <f t="shared" ref="K112:U112" si="91">+J112+K82-K84</f>
        <v>1070.377</v>
      </c>
      <c r="L112" s="302">
        <f t="shared" si="91"/>
        <v>1120.377</v>
      </c>
      <c r="M112" s="302">
        <f t="shared" si="91"/>
        <v>1160.377</v>
      </c>
      <c r="N112" s="302">
        <f t="shared" si="91"/>
        <v>1215.377</v>
      </c>
      <c r="O112" s="302">
        <f t="shared" si="91"/>
        <v>1225.377</v>
      </c>
      <c r="P112" s="302">
        <f t="shared" si="91"/>
        <v>1245.377</v>
      </c>
      <c r="Q112" s="302">
        <f t="shared" si="91"/>
        <v>1265.377</v>
      </c>
      <c r="R112" s="302">
        <f t="shared" si="91"/>
        <v>1290.377</v>
      </c>
      <c r="S112" s="302">
        <f t="shared" si="91"/>
        <v>1315.377</v>
      </c>
      <c r="T112" s="302">
        <f t="shared" si="91"/>
        <v>1330.377</v>
      </c>
      <c r="U112" s="302">
        <f t="shared" si="91"/>
        <v>1345.377</v>
      </c>
      <c r="W112" s="302">
        <f t="shared" ref="W112:Z112" si="92">INDEX($F112:$U112,1,MATCH(W$108,$F$108:$U$108,0))</f>
        <v>927.955</v>
      </c>
      <c r="X112" s="302">
        <f t="shared" si="92"/>
        <v>1160.377</v>
      </c>
      <c r="Y112" s="302">
        <f t="shared" si="92"/>
        <v>1265.377</v>
      </c>
      <c r="Z112" s="302">
        <f t="shared" si="92"/>
        <v>1345.377</v>
      </c>
    </row>
    <row r="113" outlineLevel="1" spans="3:26">
      <c r="C113" s="189" t="s">
        <v>52</v>
      </c>
      <c r="D113" s="181" t="s">
        <v>48</v>
      </c>
      <c r="E113" s="212"/>
      <c r="F113" s="317">
        <f t="shared" ref="F113:U113" si="93">SUM(F111:F112)</f>
        <v>11102.912</v>
      </c>
      <c r="G113" s="317">
        <f t="shared" si="93"/>
        <v>10980.646</v>
      </c>
      <c r="H113" s="317">
        <f t="shared" si="93"/>
        <v>11511.865</v>
      </c>
      <c r="I113" s="317">
        <f t="shared" si="93"/>
        <v>11558.469</v>
      </c>
      <c r="J113" s="317">
        <f t="shared" si="93"/>
        <v>11869.005</v>
      </c>
      <c r="K113" s="317">
        <f t="shared" si="93"/>
        <v>12063.2546363191</v>
      </c>
      <c r="L113" s="317">
        <f t="shared" si="93"/>
        <v>12255.6037207484</v>
      </c>
      <c r="M113" s="317">
        <f t="shared" si="93"/>
        <v>12453.9861011971</v>
      </c>
      <c r="N113" s="317">
        <f t="shared" si="93"/>
        <v>12672.9879238062</v>
      </c>
      <c r="O113" s="317">
        <f t="shared" si="93"/>
        <v>12879.7281681817</v>
      </c>
      <c r="P113" s="317">
        <f t="shared" si="93"/>
        <v>13094.3908715497</v>
      </c>
      <c r="Q113" s="317">
        <f t="shared" si="93"/>
        <v>13315.7783616308</v>
      </c>
      <c r="R113" s="317">
        <f t="shared" si="93"/>
        <v>13564.8163258803</v>
      </c>
      <c r="S113" s="317">
        <f t="shared" si="93"/>
        <v>13799.8085143063</v>
      </c>
      <c r="T113" s="317">
        <f t="shared" si="93"/>
        <v>14032.3391958323</v>
      </c>
      <c r="U113" s="317">
        <f t="shared" si="93"/>
        <v>14272.4882547655</v>
      </c>
      <c r="W113" s="317">
        <f t="shared" ref="W113:Z113" si="94">SUM(W111:W112)</f>
        <v>11558.469</v>
      </c>
      <c r="X113" s="317">
        <f t="shared" si="94"/>
        <v>12453.9861011971</v>
      </c>
      <c r="Y113" s="317">
        <f t="shared" si="94"/>
        <v>13315.7783616308</v>
      </c>
      <c r="Z113" s="317">
        <f t="shared" si="94"/>
        <v>14272.4882547655</v>
      </c>
    </row>
    <row r="114" outlineLevel="1" spans="3:26">
      <c r="C114" s="51" t="s">
        <v>251</v>
      </c>
      <c r="D114" s="200" t="s">
        <v>48</v>
      </c>
      <c r="F114" s="275">
        <v>-2380.4</v>
      </c>
      <c r="G114" s="275">
        <v>-2441.15</v>
      </c>
      <c r="H114" s="275">
        <v>-2565.368</v>
      </c>
      <c r="I114" s="275">
        <v>-2668.509</v>
      </c>
      <c r="J114" s="275">
        <v>-2792.91</v>
      </c>
      <c r="K114" s="289">
        <f t="shared" ref="K114:U114" si="95">+J114-K159</f>
        <v>-2973.02591447354</v>
      </c>
      <c r="L114" s="289">
        <f t="shared" si="95"/>
        <v>-3161.90953185332</v>
      </c>
      <c r="M114" s="289">
        <f t="shared" si="95"/>
        <v>-3341.30347432532</v>
      </c>
      <c r="N114" s="289">
        <f t="shared" si="95"/>
        <v>-3539.96886121846</v>
      </c>
      <c r="O114" s="289">
        <f t="shared" si="95"/>
        <v>-3739.86385495522</v>
      </c>
      <c r="P114" s="289">
        <f t="shared" si="95"/>
        <v>-3949.77765254931</v>
      </c>
      <c r="Q114" s="289">
        <f t="shared" si="95"/>
        <v>-4149.27732121607</v>
      </c>
      <c r="R114" s="289">
        <f t="shared" si="95"/>
        <v>-4374.67091889731</v>
      </c>
      <c r="S114" s="289">
        <f t="shared" si="95"/>
        <v>-4600.39111582818</v>
      </c>
      <c r="T114" s="289">
        <f t="shared" si="95"/>
        <v>-4836.37407135662</v>
      </c>
      <c r="U114" s="289">
        <f t="shared" si="95"/>
        <v>-5061.04056674625</v>
      </c>
      <c r="W114" s="289">
        <f t="shared" ref="W114:Z114" si="96">INDEX($F114:$U114,1,MATCH(W$108,$F$108:$U$108,0))</f>
        <v>-2668.509</v>
      </c>
      <c r="X114" s="289">
        <f t="shared" si="96"/>
        <v>-3341.30347432532</v>
      </c>
      <c r="Y114" s="289">
        <f t="shared" si="96"/>
        <v>-4149.27732121607</v>
      </c>
      <c r="Z114" s="289">
        <f t="shared" si="96"/>
        <v>-5061.04056674625</v>
      </c>
    </row>
    <row r="115" outlineLevel="1" spans="3:26">
      <c r="C115" s="189" t="s">
        <v>252</v>
      </c>
      <c r="D115" s="181" t="s">
        <v>48</v>
      </c>
      <c r="E115" s="212"/>
      <c r="F115" s="318">
        <f t="shared" ref="F115:U115" si="97">SUM(F113:F114)</f>
        <v>8722.512</v>
      </c>
      <c r="G115" s="318">
        <f t="shared" si="97"/>
        <v>8539.496</v>
      </c>
      <c r="H115" s="318">
        <f t="shared" si="97"/>
        <v>8946.497</v>
      </c>
      <c r="I115" s="318">
        <f t="shared" si="97"/>
        <v>8889.96</v>
      </c>
      <c r="J115" s="318">
        <f t="shared" si="97"/>
        <v>9076.095</v>
      </c>
      <c r="K115" s="318">
        <f t="shared" si="97"/>
        <v>9090.22872184556</v>
      </c>
      <c r="L115" s="318">
        <f t="shared" si="97"/>
        <v>9093.69418889506</v>
      </c>
      <c r="M115" s="318">
        <f t="shared" si="97"/>
        <v>9112.68262687182</v>
      </c>
      <c r="N115" s="318">
        <f t="shared" si="97"/>
        <v>9133.01906258772</v>
      </c>
      <c r="O115" s="318">
        <f t="shared" si="97"/>
        <v>9139.8643132265</v>
      </c>
      <c r="P115" s="318">
        <f t="shared" si="97"/>
        <v>9144.61321900039</v>
      </c>
      <c r="Q115" s="318">
        <f t="shared" si="97"/>
        <v>9166.50104041477</v>
      </c>
      <c r="R115" s="318">
        <f t="shared" si="97"/>
        <v>9190.145406983</v>
      </c>
      <c r="S115" s="318">
        <f t="shared" si="97"/>
        <v>9199.41739847816</v>
      </c>
      <c r="T115" s="318">
        <f t="shared" si="97"/>
        <v>9195.96512447568</v>
      </c>
      <c r="U115" s="318">
        <f t="shared" si="97"/>
        <v>9211.44768801921</v>
      </c>
      <c r="W115" s="318">
        <f t="shared" ref="W115:Z115" si="98">SUM(W113:W114)</f>
        <v>8889.96</v>
      </c>
      <c r="X115" s="318">
        <f t="shared" si="98"/>
        <v>9112.68262687182</v>
      </c>
      <c r="Y115" s="318">
        <f t="shared" si="98"/>
        <v>9166.50104041477</v>
      </c>
      <c r="Z115" s="318">
        <f t="shared" si="98"/>
        <v>9211.44768801921</v>
      </c>
    </row>
    <row r="116" outlineLevel="1" spans="6:26"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W116" s="197"/>
      <c r="X116" s="197"/>
      <c r="Y116" s="197"/>
      <c r="Z116" s="197"/>
    </row>
    <row r="117" outlineLevel="1" spans="3:26">
      <c r="C117" s="11" t="s">
        <v>253</v>
      </c>
      <c r="D117" s="181" t="s">
        <v>48</v>
      </c>
      <c r="F117" s="302">
        <f t="shared" ref="F117:U117" si="99">+F186</f>
        <v>50.7329999999999</v>
      </c>
      <c r="G117" s="302">
        <f t="shared" si="99"/>
        <v>51.5379999999999</v>
      </c>
      <c r="H117" s="302">
        <f t="shared" si="99"/>
        <v>48.1299999999995</v>
      </c>
      <c r="I117" s="302">
        <f t="shared" si="99"/>
        <v>22.0359999999995</v>
      </c>
      <c r="J117" s="302">
        <f t="shared" si="99"/>
        <v>25.3969999999995</v>
      </c>
      <c r="K117" s="302">
        <f t="shared" si="99"/>
        <v>92.2511268342852</v>
      </c>
      <c r="L117" s="302">
        <f t="shared" si="99"/>
        <v>103.690110554167</v>
      </c>
      <c r="M117" s="302">
        <f t="shared" si="99"/>
        <v>229.761831599682</v>
      </c>
      <c r="N117" s="302">
        <f t="shared" si="99"/>
        <v>104.450988873198</v>
      </c>
      <c r="O117" s="302">
        <f t="shared" si="99"/>
        <v>102.53537232792</v>
      </c>
      <c r="P117" s="302">
        <f t="shared" si="99"/>
        <v>115.315840367574</v>
      </c>
      <c r="Q117" s="302">
        <f t="shared" si="99"/>
        <v>258.268494164033</v>
      </c>
      <c r="R117" s="302">
        <f t="shared" si="99"/>
        <v>119.298648333043</v>
      </c>
      <c r="S117" s="302">
        <f t="shared" si="99"/>
        <v>116.666231932261</v>
      </c>
      <c r="T117" s="302">
        <f t="shared" si="99"/>
        <v>130.439147838331</v>
      </c>
      <c r="U117" s="302">
        <f t="shared" si="99"/>
        <v>299.527075052324</v>
      </c>
      <c r="W117" s="302">
        <f t="shared" ref="W117:Z117" si="100">INDEX($F117:$U117,1,MATCH(W$108,$F$108:$U$108,0))</f>
        <v>22.0359999999995</v>
      </c>
      <c r="X117" s="302">
        <f t="shared" si="100"/>
        <v>229.761831599682</v>
      </c>
      <c r="Y117" s="302">
        <f t="shared" si="100"/>
        <v>258.268494164033</v>
      </c>
      <c r="Z117" s="302">
        <f t="shared" si="100"/>
        <v>299.527075052324</v>
      </c>
    </row>
    <row r="118" outlineLevel="1" spans="3:26">
      <c r="C118" s="11" t="s">
        <v>254</v>
      </c>
      <c r="D118" s="181" t="s">
        <v>48</v>
      </c>
      <c r="F118" s="264">
        <v>180.456</v>
      </c>
      <c r="G118" s="264">
        <v>165.867</v>
      </c>
      <c r="H118" s="264">
        <v>208.097</v>
      </c>
      <c r="I118" s="264">
        <v>203.938</v>
      </c>
      <c r="J118" s="264">
        <v>195.406</v>
      </c>
      <c r="K118" s="321">
        <f>+K146*K39*Num_Periods</f>
        <v>170.640294427127</v>
      </c>
      <c r="L118" s="321">
        <f>+L146*L39*Num_Periods</f>
        <v>218.032148947708</v>
      </c>
      <c r="M118" s="321">
        <f>+M146*M39*Num_Periods</f>
        <v>204.610903437178</v>
      </c>
      <c r="N118" s="321">
        <f>+N146*N39*Num_Periods</f>
        <v>216.952663607968</v>
      </c>
      <c r="O118" s="321">
        <f>+O146*O39*Num_Periods</f>
        <v>189.378826881843</v>
      </c>
      <c r="P118" s="321">
        <f>+P146*P39*Num_Periods</f>
        <v>242.307707879131</v>
      </c>
      <c r="Q118" s="321">
        <f>+Q146*Q39*Num_Periods</f>
        <v>227.542841630197</v>
      </c>
      <c r="R118" s="321">
        <f>+R146*R39*Num_Periods</f>
        <v>246.141223400076</v>
      </c>
      <c r="S118" s="321">
        <f>+S146*S39*Num_Periods</f>
        <v>213.845406026527</v>
      </c>
      <c r="T118" s="321">
        <f>+T146*T39*Num_Periods</f>
        <v>272.399859885383</v>
      </c>
      <c r="U118" s="321">
        <f>+U146*U39*Num_Periods</f>
        <v>256.247306683237</v>
      </c>
      <c r="W118" s="321">
        <f t="shared" ref="W118:Z118" si="101">INDEX($F118:$U118,1,MATCH(W$108,$F$108:$U$108,0))</f>
        <v>203.938</v>
      </c>
      <c r="X118" s="321">
        <f t="shared" si="101"/>
        <v>204.610903437178</v>
      </c>
      <c r="Y118" s="321">
        <f t="shared" si="101"/>
        <v>227.542841630197</v>
      </c>
      <c r="Z118" s="321">
        <f t="shared" si="101"/>
        <v>256.247306683237</v>
      </c>
    </row>
    <row r="119" outlineLevel="1" spans="3:26">
      <c r="C119" s="11" t="s">
        <v>255</v>
      </c>
      <c r="D119" s="181" t="s">
        <v>48</v>
      </c>
      <c r="F119" s="264">
        <v>412.579</v>
      </c>
      <c r="G119" s="264">
        <v>408.193</v>
      </c>
      <c r="H119" s="264">
        <v>412.977</v>
      </c>
      <c r="I119" s="264">
        <v>412.269</v>
      </c>
      <c r="J119" s="264">
        <v>418.858</v>
      </c>
      <c r="K119" s="321">
        <f t="shared" ref="K119:U119" si="102">+J119-K161</f>
        <v>420.75027783875</v>
      </c>
      <c r="L119" s="321">
        <f t="shared" si="102"/>
        <v>420.329000601886</v>
      </c>
      <c r="M119" s="321">
        <f t="shared" si="102"/>
        <v>419.937058272966</v>
      </c>
      <c r="N119" s="321">
        <f t="shared" si="102"/>
        <v>420.057875324913</v>
      </c>
      <c r="O119" s="321">
        <f t="shared" si="102"/>
        <v>419.920122359654</v>
      </c>
      <c r="P119" s="321">
        <f t="shared" si="102"/>
        <v>422.192281671612</v>
      </c>
      <c r="Q119" s="321">
        <f t="shared" si="102"/>
        <v>421.71862012736</v>
      </c>
      <c r="R119" s="321">
        <f t="shared" si="102"/>
        <v>421.248905263769</v>
      </c>
      <c r="S119" s="321">
        <f t="shared" si="102"/>
        <v>421.380119480222</v>
      </c>
      <c r="T119" s="321">
        <f t="shared" si="102"/>
        <v>421.212569395463</v>
      </c>
      <c r="U119" s="321">
        <f t="shared" si="102"/>
        <v>423.801308891477</v>
      </c>
      <c r="W119" s="321">
        <f t="shared" ref="W119:Z119" si="103">INDEX($F119:$U119,1,MATCH(W$108,$F$108:$U$108,0))</f>
        <v>412.269</v>
      </c>
      <c r="X119" s="321">
        <f t="shared" si="103"/>
        <v>419.937058272966</v>
      </c>
      <c r="Y119" s="321">
        <f t="shared" si="103"/>
        <v>421.71862012736</v>
      </c>
      <c r="Z119" s="321">
        <f t="shared" si="103"/>
        <v>423.801308891477</v>
      </c>
    </row>
    <row r="120" outlineLevel="1" spans="3:26">
      <c r="C120" s="11" t="s">
        <v>256</v>
      </c>
      <c r="D120" s="181" t="s">
        <v>48</v>
      </c>
      <c r="F120" s="264">
        <v>330.664</v>
      </c>
      <c r="G120" s="264">
        <v>330.664</v>
      </c>
      <c r="H120" s="264">
        <v>780.099</v>
      </c>
      <c r="I120" s="264">
        <v>752.97</v>
      </c>
      <c r="J120" s="264">
        <v>757.444</v>
      </c>
      <c r="K120" s="302">
        <f t="shared" ref="K120:U120" si="104">+J120-K163</f>
        <v>757.444</v>
      </c>
      <c r="L120" s="302">
        <f t="shared" si="104"/>
        <v>757.444</v>
      </c>
      <c r="M120" s="302">
        <f t="shared" si="104"/>
        <v>757.444</v>
      </c>
      <c r="N120" s="302">
        <f t="shared" si="104"/>
        <v>757.444</v>
      </c>
      <c r="O120" s="302">
        <f t="shared" si="104"/>
        <v>757.444</v>
      </c>
      <c r="P120" s="302">
        <f t="shared" si="104"/>
        <v>757.444</v>
      </c>
      <c r="Q120" s="302">
        <f t="shared" si="104"/>
        <v>757.444</v>
      </c>
      <c r="R120" s="302">
        <f t="shared" si="104"/>
        <v>757.444</v>
      </c>
      <c r="S120" s="302">
        <f t="shared" si="104"/>
        <v>757.444</v>
      </c>
      <c r="T120" s="302">
        <f t="shared" si="104"/>
        <v>757.444</v>
      </c>
      <c r="U120" s="302">
        <f t="shared" si="104"/>
        <v>757.444</v>
      </c>
      <c r="W120" s="302">
        <f t="shared" ref="W120:Z120" si="105">INDEX($F120:$U120,1,MATCH(W$108,$F$108:$U$108,0))</f>
        <v>752.97</v>
      </c>
      <c r="X120" s="302">
        <f t="shared" si="105"/>
        <v>757.444</v>
      </c>
      <c r="Y120" s="302">
        <f t="shared" si="105"/>
        <v>757.444</v>
      </c>
      <c r="Z120" s="302">
        <f t="shared" si="105"/>
        <v>757.444</v>
      </c>
    </row>
    <row r="121" outlineLevel="1" spans="3:26">
      <c r="C121" s="11" t="s">
        <v>257</v>
      </c>
      <c r="D121" s="181" t="s">
        <v>48</v>
      </c>
      <c r="F121" s="275">
        <v>106.008</v>
      </c>
      <c r="G121" s="275">
        <v>105.673</v>
      </c>
      <c r="H121" s="275">
        <v>105.82</v>
      </c>
      <c r="I121" s="275">
        <v>106.402</v>
      </c>
      <c r="J121" s="275">
        <v>112.856</v>
      </c>
      <c r="K121" s="289">
        <f t="shared" ref="K121:U121" si="106">+J121-K157-K158</f>
        <v>113.59976</v>
      </c>
      <c r="L121" s="289">
        <f t="shared" si="106"/>
        <v>113.8385</v>
      </c>
      <c r="M121" s="289">
        <f t="shared" si="106"/>
        <v>114.36012</v>
      </c>
      <c r="N121" s="289">
        <f t="shared" si="106"/>
        <v>115.47816</v>
      </c>
      <c r="O121" s="289">
        <f t="shared" si="106"/>
        <v>116.259108</v>
      </c>
      <c r="P121" s="289">
        <f t="shared" si="106"/>
        <v>116.509785</v>
      </c>
      <c r="Q121" s="289">
        <f t="shared" si="106"/>
        <v>117.057486</v>
      </c>
      <c r="R121" s="289">
        <f t="shared" si="106"/>
        <v>118.231428</v>
      </c>
      <c r="S121" s="289">
        <f t="shared" si="106"/>
        <v>119.0514234</v>
      </c>
      <c r="T121" s="289">
        <f t="shared" si="106"/>
        <v>119.31463425</v>
      </c>
      <c r="U121" s="289">
        <f t="shared" si="106"/>
        <v>119.8897203</v>
      </c>
      <c r="W121" s="289">
        <f t="shared" ref="W121:Z121" si="107">INDEX($F121:$U121,1,MATCH(W$108,$F$108:$U$108,0))</f>
        <v>106.402</v>
      </c>
      <c r="X121" s="289">
        <f t="shared" si="107"/>
        <v>114.36012</v>
      </c>
      <c r="Y121" s="289">
        <f t="shared" si="107"/>
        <v>117.057486</v>
      </c>
      <c r="Z121" s="289">
        <f t="shared" si="107"/>
        <v>119.8897203</v>
      </c>
    </row>
    <row r="122" outlineLevel="1" spans="3:26">
      <c r="C122" s="11" t="s">
        <v>258</v>
      </c>
      <c r="D122" s="181" t="s">
        <v>48</v>
      </c>
      <c r="F122" s="275">
        <v>1301.972</v>
      </c>
      <c r="G122" s="275">
        <v>1267.237</v>
      </c>
      <c r="H122" s="275">
        <v>1464.229</v>
      </c>
      <c r="I122" s="275">
        <v>1462.66</v>
      </c>
      <c r="J122" s="275">
        <v>1444.028</v>
      </c>
      <c r="K122" s="289">
        <f t="shared" ref="K122:U122" si="108">+J122-K162</f>
        <v>1446.025</v>
      </c>
      <c r="L122" s="289">
        <f t="shared" si="108"/>
        <v>1448.027</v>
      </c>
      <c r="M122" s="289">
        <f t="shared" si="108"/>
        <v>1450.075</v>
      </c>
      <c r="N122" s="289">
        <f t="shared" si="108"/>
        <v>1452.048</v>
      </c>
      <c r="O122" s="289">
        <f t="shared" si="108"/>
        <v>1454.045</v>
      </c>
      <c r="P122" s="289">
        <f t="shared" si="108"/>
        <v>1456.047</v>
      </c>
      <c r="Q122" s="289">
        <f t="shared" si="108"/>
        <v>1458.095</v>
      </c>
      <c r="R122" s="289">
        <f t="shared" si="108"/>
        <v>1460.068</v>
      </c>
      <c r="S122" s="289">
        <f t="shared" si="108"/>
        <v>1462.065</v>
      </c>
      <c r="T122" s="289">
        <f t="shared" si="108"/>
        <v>1464.067</v>
      </c>
      <c r="U122" s="289">
        <f t="shared" si="108"/>
        <v>1466.115</v>
      </c>
      <c r="W122" s="289">
        <f t="shared" ref="W122:Z122" si="109">INDEX($F122:$U122,1,MATCH(W$108,$F$108:$U$108,0))</f>
        <v>1462.66</v>
      </c>
      <c r="X122" s="289">
        <f t="shared" si="109"/>
        <v>1450.075</v>
      </c>
      <c r="Y122" s="289">
        <f t="shared" si="109"/>
        <v>1458.095</v>
      </c>
      <c r="Z122" s="289">
        <f t="shared" si="109"/>
        <v>1466.115</v>
      </c>
    </row>
    <row r="123" outlineLevel="1" spans="3:26">
      <c r="C123" s="11" t="s">
        <v>260</v>
      </c>
      <c r="D123" s="181" t="s">
        <v>48</v>
      </c>
      <c r="F123" s="275">
        <v>220.576</v>
      </c>
      <c r="G123" s="275">
        <v>332.884</v>
      </c>
      <c r="H123" s="275">
        <v>246.299</v>
      </c>
      <c r="I123" s="275">
        <v>260.451</v>
      </c>
      <c r="J123" s="275">
        <v>220.823</v>
      </c>
      <c r="K123" s="321">
        <f>+K147*K39*Num_Periods</f>
        <v>243.68623722891</v>
      </c>
      <c r="L123" s="321">
        <f>+L147*L39*Num_Periods</f>
        <v>258.713318350484</v>
      </c>
      <c r="M123" s="321">
        <f>+M147*M39*Num_Periods</f>
        <v>261.567941926912</v>
      </c>
      <c r="N123" s="321">
        <f>+N147*N39*Num_Periods</f>
        <v>268.962369947643</v>
      </c>
      <c r="O123" s="321">
        <f>+O147*O39*Num_Periods</f>
        <v>270.446167996795</v>
      </c>
      <c r="P123" s="321">
        <f>+P147*P39*Num_Periods</f>
        <v>287.518292462204</v>
      </c>
      <c r="Q123" s="321">
        <f>+Q147*Q39*Num_Periods</f>
        <v>290.883387862494</v>
      </c>
      <c r="R123" s="321">
        <f>+R147*R39*Num_Periods</f>
        <v>305.148255322298</v>
      </c>
      <c r="S123" s="321">
        <f>+S147*S39*Num_Periods</f>
        <v>305.386148788833</v>
      </c>
      <c r="T123" s="321">
        <f>+T147*T39*Num_Periods</f>
        <v>323.225139087432</v>
      </c>
      <c r="U123" s="321">
        <f>+U147*U39*Num_Periods</f>
        <v>327.578244890686</v>
      </c>
      <c r="W123" s="321">
        <f t="shared" ref="W123:Z123" si="110">INDEX($F123:$U123,1,MATCH(W$108,$F$108:$U$108,0))</f>
        <v>260.451</v>
      </c>
      <c r="X123" s="321">
        <f t="shared" si="110"/>
        <v>261.567941926912</v>
      </c>
      <c r="Y123" s="321">
        <f t="shared" si="110"/>
        <v>290.883387862494</v>
      </c>
      <c r="Z123" s="321">
        <f t="shared" si="110"/>
        <v>327.578244890686</v>
      </c>
    </row>
    <row r="124" outlineLevel="1"/>
    <row r="125" outlineLevel="1" spans="3:26">
      <c r="C125" s="193" t="s">
        <v>261</v>
      </c>
      <c r="D125" s="181" t="s">
        <v>48</v>
      </c>
      <c r="F125" s="209">
        <f t="shared" ref="F125:U125" si="111">+F115+SUM(F117:F123)</f>
        <v>11325.5</v>
      </c>
      <c r="G125" s="209">
        <f t="shared" si="111"/>
        <v>11201.552</v>
      </c>
      <c r="H125" s="209">
        <f t="shared" si="111"/>
        <v>12212.148</v>
      </c>
      <c r="I125" s="209">
        <f t="shared" si="111"/>
        <v>12110.686</v>
      </c>
      <c r="J125" s="209">
        <f t="shared" si="111"/>
        <v>12250.907</v>
      </c>
      <c r="K125" s="209">
        <f t="shared" si="111"/>
        <v>12334.6254181746</v>
      </c>
      <c r="L125" s="209">
        <f t="shared" si="111"/>
        <v>12413.7682673493</v>
      </c>
      <c r="M125" s="209">
        <f t="shared" si="111"/>
        <v>12550.4394821086</v>
      </c>
      <c r="N125" s="209">
        <f t="shared" si="111"/>
        <v>12468.4131203414</v>
      </c>
      <c r="O125" s="209">
        <f t="shared" si="111"/>
        <v>12449.8929107927</v>
      </c>
      <c r="P125" s="209">
        <f t="shared" si="111"/>
        <v>12541.9481263809</v>
      </c>
      <c r="Q125" s="209">
        <f t="shared" si="111"/>
        <v>12697.5108701989</v>
      </c>
      <c r="R125" s="209">
        <f t="shared" si="111"/>
        <v>12617.7258673022</v>
      </c>
      <c r="S125" s="209">
        <f t="shared" si="111"/>
        <v>12595.255728106</v>
      </c>
      <c r="T125" s="209">
        <f t="shared" si="111"/>
        <v>12684.0674749323</v>
      </c>
      <c r="U125" s="209">
        <f t="shared" si="111"/>
        <v>12862.0503438369</v>
      </c>
      <c r="W125" s="209">
        <f t="shared" ref="W125:Z125" si="112">+W115+SUM(W117:W123)</f>
        <v>12110.686</v>
      </c>
      <c r="X125" s="209">
        <f t="shared" si="112"/>
        <v>12550.4394821086</v>
      </c>
      <c r="Y125" s="209">
        <f t="shared" si="112"/>
        <v>12697.5108701989</v>
      </c>
      <c r="Z125" s="209">
        <f t="shared" si="112"/>
        <v>12862.0503438369</v>
      </c>
    </row>
    <row r="126" outlineLevel="1"/>
    <row r="127" outlineLevel="1" spans="2:26">
      <c r="B127" s="177" t="s">
        <v>262</v>
      </c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W127" s="178"/>
      <c r="X127" s="178"/>
      <c r="Y127" s="178"/>
      <c r="Z127" s="178"/>
    </row>
    <row r="128" outlineLevel="1" spans="3:26">
      <c r="C128" s="51" t="s">
        <v>263</v>
      </c>
      <c r="D128" s="181" t="s">
        <v>48</v>
      </c>
      <c r="F128" s="263">
        <v>6156.73</v>
      </c>
      <c r="G128" s="263">
        <v>6135.406</v>
      </c>
      <c r="H128" s="263">
        <v>6024.987</v>
      </c>
      <c r="I128" s="263">
        <v>5838.607</v>
      </c>
      <c r="J128" s="263">
        <v>6201.329</v>
      </c>
      <c r="K128" s="301">
        <f t="shared" ref="K128:U128" si="113">+J128+K177</f>
        <v>6417.65690008162</v>
      </c>
      <c r="L128" s="301">
        <f t="shared" si="113"/>
        <v>6500.39894922046</v>
      </c>
      <c r="M128" s="301">
        <f t="shared" si="113"/>
        <v>6500.39894922046</v>
      </c>
      <c r="N128" s="301">
        <f t="shared" si="113"/>
        <v>6668.8970473839</v>
      </c>
      <c r="O128" s="301">
        <f t="shared" si="113"/>
        <v>6826.55486595458</v>
      </c>
      <c r="P128" s="301">
        <f t="shared" si="113"/>
        <v>6918.96011613344</v>
      </c>
      <c r="Q128" s="301">
        <f t="shared" si="113"/>
        <v>6918.96011613344</v>
      </c>
      <c r="R128" s="301">
        <f t="shared" si="113"/>
        <v>7093.64161636277</v>
      </c>
      <c r="S128" s="301">
        <f t="shared" si="113"/>
        <v>7274.11041822666</v>
      </c>
      <c r="T128" s="301">
        <f t="shared" si="113"/>
        <v>7371.73251814549</v>
      </c>
      <c r="U128" s="301">
        <f t="shared" si="113"/>
        <v>7371.73251814549</v>
      </c>
      <c r="W128" s="301">
        <f t="shared" ref="W128:Z128" si="114">INDEX($F128:$U128,1,MATCH(W$108,$F$108:$U$108,0))</f>
        <v>5838.607</v>
      </c>
      <c r="X128" s="301">
        <f t="shared" si="114"/>
        <v>6500.39894922046</v>
      </c>
      <c r="Y128" s="301">
        <f t="shared" si="114"/>
        <v>6918.96011613344</v>
      </c>
      <c r="Z128" s="301">
        <f t="shared" si="114"/>
        <v>7371.73251814549</v>
      </c>
    </row>
    <row r="129" outlineLevel="1" spans="3:26">
      <c r="C129" s="51" t="s">
        <v>264</v>
      </c>
      <c r="D129" s="181" t="s">
        <v>48</v>
      </c>
      <c r="F129" s="264">
        <v>570.652</v>
      </c>
      <c r="G129" s="264">
        <v>598.61</v>
      </c>
      <c r="H129" s="264">
        <v>823.906</v>
      </c>
      <c r="I129" s="264">
        <v>969.072</v>
      </c>
      <c r="J129" s="264">
        <v>804.371</v>
      </c>
      <c r="K129" s="321">
        <f>-K149*SUM(K$42:K$44)*Num_Periods</f>
        <v>784.134578091424</v>
      </c>
      <c r="L129" s="321">
        <f>-L149*SUM(L$42:L$44)*Num_Periods</f>
        <v>860.627917599582</v>
      </c>
      <c r="M129" s="321">
        <f>-M149*SUM(M$42:M$44)*Num_Periods</f>
        <v>936.395855532345</v>
      </c>
      <c r="N129" s="321">
        <f>-N149*SUM(N$42:N$44)*Num_Periods</f>
        <v>913.946152640482</v>
      </c>
      <c r="O129" s="321">
        <f>-O149*SUM(O$42:O$44)*Num_Periods</f>
        <v>871.550664787322</v>
      </c>
      <c r="P129" s="321">
        <f>-P149*SUM(P$42:P$44)*Num_Periods</f>
        <v>957.121475050865</v>
      </c>
      <c r="Q129" s="321">
        <f>-Q149*SUM(Q$42:Q$44)*Num_Periods</f>
        <v>1043.08284163896</v>
      </c>
      <c r="R129" s="321">
        <f>-R149*SUM(R$42:R$44)*Num_Periods</f>
        <v>1043.86317291413</v>
      </c>
      <c r="S129" s="321">
        <f>-S149*SUM(S$42:S$44)*Num_Periods</f>
        <v>991.662971424221</v>
      </c>
      <c r="T129" s="321">
        <f>-T149*SUM(T$42:T$44)*Num_Periods</f>
        <v>1082.64492705815</v>
      </c>
      <c r="U129" s="321">
        <f>-U149*SUM(U$42:U$44)*Num_Periods</f>
        <v>1180.32824996884</v>
      </c>
      <c r="W129" s="321">
        <f t="shared" ref="W129:Z129" si="115">INDEX($F129:$U129,1,MATCH(W$108,$F$108:$U$108,0))</f>
        <v>969.072</v>
      </c>
      <c r="X129" s="321">
        <f t="shared" si="115"/>
        <v>936.395855532345</v>
      </c>
      <c r="Y129" s="321">
        <f t="shared" si="115"/>
        <v>1043.08284163896</v>
      </c>
      <c r="Z129" s="321">
        <f t="shared" si="115"/>
        <v>1180.32824996884</v>
      </c>
    </row>
    <row r="130" outlineLevel="1" spans="3:26">
      <c r="C130" s="51" t="s">
        <v>265</v>
      </c>
      <c r="D130" s="200" t="s">
        <v>48</v>
      </c>
      <c r="F130" s="275">
        <v>152.908</v>
      </c>
      <c r="G130" s="275">
        <v>141.894</v>
      </c>
      <c r="H130" s="275">
        <v>166.607</v>
      </c>
      <c r="I130" s="275">
        <v>170.71</v>
      </c>
      <c r="J130" s="275">
        <v>174.762</v>
      </c>
      <c r="K130" s="289">
        <f>-K150*SUM(K$42:K$44)*Num_Periods</f>
        <v>144.135021174761</v>
      </c>
      <c r="L130" s="289">
        <f>-L150*SUM(L$42:L$44)*Num_Periods</f>
        <v>171.090613007642</v>
      </c>
      <c r="M130" s="289">
        <f>-M150*SUM(M$42:M$44)*Num_Periods</f>
        <v>178.435716780621</v>
      </c>
      <c r="N130" s="289">
        <f>-N150*SUM(N$42:N$44)*Num_Periods</f>
        <v>192.69976899605</v>
      </c>
      <c r="O130" s="289">
        <f>-O150*SUM(O$42:O$44)*Num_Periods</f>
        <v>160.203333756507</v>
      </c>
      <c r="P130" s="289">
        <f>-P150*SUM(P$42:P$44)*Num_Periods</f>
        <v>190.273283657781</v>
      </c>
      <c r="Q130" s="289">
        <f>-Q150*SUM(Q$42:Q$44)*Num_Periods</f>
        <v>198.765547081158</v>
      </c>
      <c r="R130" s="289">
        <f>-R150*SUM(R$42:R$44)*Num_Periods</f>
        <v>220.091951481919</v>
      </c>
      <c r="S130" s="289">
        <f>-S150*SUM(S$42:S$44)*Num_Periods</f>
        <v>182.281673807008</v>
      </c>
      <c r="T130" s="289">
        <f>-T150*SUM(T$42:T$44)*Num_Periods</f>
        <v>215.227022563511</v>
      </c>
      <c r="U130" s="289">
        <f>-U150*SUM(U$42:U$44)*Num_Periods</f>
        <v>224.918463783538</v>
      </c>
      <c r="W130" s="289">
        <f t="shared" ref="W130:Z130" si="116">INDEX($F130:$U130,1,MATCH(W$108,$F$108:$U$108,0))</f>
        <v>170.71</v>
      </c>
      <c r="X130" s="289">
        <f t="shared" si="116"/>
        <v>178.435716780621</v>
      </c>
      <c r="Y130" s="289">
        <f t="shared" si="116"/>
        <v>198.765547081158</v>
      </c>
      <c r="Z130" s="289">
        <f t="shared" si="116"/>
        <v>224.918463783538</v>
      </c>
    </row>
    <row r="131" outlineLevel="1" spans="3:26">
      <c r="C131" s="189" t="s">
        <v>266</v>
      </c>
      <c r="D131" s="181" t="s">
        <v>48</v>
      </c>
      <c r="E131" s="212"/>
      <c r="F131" s="276">
        <f t="shared" ref="F131:U131" si="117">SUM(F128:F130)</f>
        <v>6880.29</v>
      </c>
      <c r="G131" s="276">
        <f t="shared" si="117"/>
        <v>6875.91</v>
      </c>
      <c r="H131" s="276">
        <f t="shared" si="117"/>
        <v>7015.5</v>
      </c>
      <c r="I131" s="276">
        <f t="shared" si="117"/>
        <v>6978.389</v>
      </c>
      <c r="J131" s="276">
        <f t="shared" si="117"/>
        <v>7180.462</v>
      </c>
      <c r="K131" s="276">
        <f t="shared" si="117"/>
        <v>7345.9264993478</v>
      </c>
      <c r="L131" s="276">
        <f t="shared" si="117"/>
        <v>7532.11747982768</v>
      </c>
      <c r="M131" s="276">
        <f t="shared" si="117"/>
        <v>7615.23052153343</v>
      </c>
      <c r="N131" s="276">
        <f t="shared" si="117"/>
        <v>7775.54296902043</v>
      </c>
      <c r="O131" s="276">
        <f t="shared" si="117"/>
        <v>7858.30886449841</v>
      </c>
      <c r="P131" s="276">
        <f t="shared" si="117"/>
        <v>8066.35487484209</v>
      </c>
      <c r="Q131" s="276">
        <f t="shared" si="117"/>
        <v>8160.80850485356</v>
      </c>
      <c r="R131" s="276">
        <f t="shared" si="117"/>
        <v>8357.59674075882</v>
      </c>
      <c r="S131" s="276">
        <f t="shared" si="117"/>
        <v>8448.05506345789</v>
      </c>
      <c r="T131" s="276">
        <f t="shared" si="117"/>
        <v>8669.60446776715</v>
      </c>
      <c r="U131" s="276">
        <f t="shared" si="117"/>
        <v>8776.97923189787</v>
      </c>
      <c r="W131" s="276">
        <f t="shared" ref="W131:Z131" si="118">SUM(W128:W130)</f>
        <v>6978.389</v>
      </c>
      <c r="X131" s="276">
        <f t="shared" si="118"/>
        <v>7615.23052153343</v>
      </c>
      <c r="Y131" s="276">
        <f t="shared" si="118"/>
        <v>8160.80850485356</v>
      </c>
      <c r="Z131" s="276">
        <f t="shared" si="118"/>
        <v>8776.97923189787</v>
      </c>
    </row>
    <row r="132" outlineLevel="1" spans="11:26">
      <c r="K132" s="322"/>
      <c r="L132" s="322"/>
      <c r="M132" s="322"/>
      <c r="N132" s="322"/>
      <c r="O132" s="322"/>
      <c r="P132" s="322"/>
      <c r="Q132" s="322"/>
      <c r="R132" s="322"/>
      <c r="S132" s="322"/>
      <c r="T132" s="322"/>
      <c r="U132" s="322"/>
      <c r="W132" s="322"/>
      <c r="X132" s="322"/>
      <c r="Y132" s="322"/>
      <c r="Z132" s="322"/>
    </row>
    <row r="133" outlineLevel="1" spans="3:26">
      <c r="C133" s="193" t="s">
        <v>267</v>
      </c>
      <c r="D133" s="181" t="s">
        <v>48</v>
      </c>
      <c r="F133" s="319">
        <v>3116.663</v>
      </c>
      <c r="G133" s="319">
        <v>2999.687</v>
      </c>
      <c r="H133" s="319">
        <v>4145.76</v>
      </c>
      <c r="I133" s="319">
        <v>4083.051</v>
      </c>
      <c r="J133" s="319">
        <v>4018.502</v>
      </c>
      <c r="K133" s="323">
        <f t="shared" ref="K133:U133" si="119">+J133+K155+K160+K164+K179+K180+K181</f>
        <v>3935.81511882683</v>
      </c>
      <c r="L133" s="323">
        <f t="shared" si="119"/>
        <v>3828.11263752162</v>
      </c>
      <c r="M133" s="323">
        <f t="shared" si="119"/>
        <v>3878.09911057513</v>
      </c>
      <c r="N133" s="323">
        <f t="shared" si="119"/>
        <v>3634.64205132101</v>
      </c>
      <c r="O133" s="323">
        <f t="shared" si="119"/>
        <v>3532.2796962943</v>
      </c>
      <c r="P133" s="323">
        <f t="shared" si="119"/>
        <v>3415.30106153882</v>
      </c>
      <c r="Q133" s="323">
        <f t="shared" si="119"/>
        <v>3475.72310784529</v>
      </c>
      <c r="R133" s="323">
        <f t="shared" si="119"/>
        <v>3195.39958404337</v>
      </c>
      <c r="S133" s="323">
        <f t="shared" si="119"/>
        <v>3081.29695964812</v>
      </c>
      <c r="T133" s="323">
        <f t="shared" si="119"/>
        <v>2947.42923966514</v>
      </c>
      <c r="U133" s="323">
        <f t="shared" si="119"/>
        <v>3017.00011243906</v>
      </c>
      <c r="W133" s="323">
        <f t="shared" ref="W133:Z133" si="120">INDEX($F133:$U133,1,MATCH(W$108,$F$108:$U$108,0))</f>
        <v>4083.051</v>
      </c>
      <c r="X133" s="323">
        <f t="shared" si="120"/>
        <v>3878.09911057513</v>
      </c>
      <c r="Y133" s="323">
        <f t="shared" si="120"/>
        <v>3475.72310784529</v>
      </c>
      <c r="Z133" s="323">
        <f t="shared" si="120"/>
        <v>3017.00011243906</v>
      </c>
    </row>
    <row r="134" outlineLevel="1" spans="3:26">
      <c r="C134" s="51" t="s">
        <v>103</v>
      </c>
      <c r="D134" s="181" t="s">
        <v>48</v>
      </c>
      <c r="F134" s="264">
        <v>1290.135</v>
      </c>
      <c r="G134" s="264">
        <v>1290.133</v>
      </c>
      <c r="H134" s="264">
        <v>1012.961</v>
      </c>
      <c r="I134" s="264">
        <v>1012.961</v>
      </c>
      <c r="J134" s="264">
        <v>1012.961</v>
      </c>
      <c r="K134" s="302">
        <f t="shared" ref="K134:U134" si="121">+J134+K178</f>
        <v>1012.961</v>
      </c>
      <c r="L134" s="302">
        <f t="shared" si="121"/>
        <v>1012.961</v>
      </c>
      <c r="M134" s="302">
        <f t="shared" si="121"/>
        <v>1012.961</v>
      </c>
      <c r="N134" s="302">
        <f t="shared" si="121"/>
        <v>1012.961</v>
      </c>
      <c r="O134" s="302">
        <f t="shared" si="121"/>
        <v>1012.961</v>
      </c>
      <c r="P134" s="302">
        <f t="shared" si="121"/>
        <v>1012.961</v>
      </c>
      <c r="Q134" s="302">
        <f t="shared" si="121"/>
        <v>1012.961</v>
      </c>
      <c r="R134" s="302">
        <f t="shared" si="121"/>
        <v>1012.961</v>
      </c>
      <c r="S134" s="302">
        <f t="shared" si="121"/>
        <v>1012.961</v>
      </c>
      <c r="T134" s="302">
        <f t="shared" si="121"/>
        <v>1012.961</v>
      </c>
      <c r="U134" s="302">
        <f t="shared" si="121"/>
        <v>1012.961</v>
      </c>
      <c r="W134" s="302">
        <f t="shared" ref="W134:Z134" si="122">INDEX($F134:$U134,1,MATCH(W$108,$F$108:$U$108,0))</f>
        <v>1012.961</v>
      </c>
      <c r="X134" s="302">
        <f t="shared" si="122"/>
        <v>1012.961</v>
      </c>
      <c r="Y134" s="302">
        <f t="shared" si="122"/>
        <v>1012.961</v>
      </c>
      <c r="Z134" s="302">
        <f t="shared" si="122"/>
        <v>1012.961</v>
      </c>
    </row>
    <row r="135" outlineLevel="1" spans="3:26">
      <c r="C135" s="51" t="s">
        <v>268</v>
      </c>
      <c r="D135" s="181" t="s">
        <v>48</v>
      </c>
      <c r="F135" s="264">
        <v>31.648</v>
      </c>
      <c r="G135" s="264">
        <v>29.095</v>
      </c>
      <c r="H135" s="264">
        <v>31.088</v>
      </c>
      <c r="I135" s="264">
        <v>29.687</v>
      </c>
      <c r="J135" s="264">
        <v>32.409</v>
      </c>
      <c r="K135" s="289">
        <f t="shared" ref="K135:U135" si="123">+J135</f>
        <v>32.409</v>
      </c>
      <c r="L135" s="289">
        <f t="shared" si="123"/>
        <v>32.409</v>
      </c>
      <c r="M135" s="289">
        <f t="shared" si="123"/>
        <v>32.409</v>
      </c>
      <c r="N135" s="289">
        <f t="shared" si="123"/>
        <v>32.409</v>
      </c>
      <c r="O135" s="289">
        <f t="shared" si="123"/>
        <v>32.409</v>
      </c>
      <c r="P135" s="289">
        <f t="shared" si="123"/>
        <v>32.409</v>
      </c>
      <c r="Q135" s="289">
        <f t="shared" si="123"/>
        <v>32.409</v>
      </c>
      <c r="R135" s="289">
        <f t="shared" si="123"/>
        <v>32.409</v>
      </c>
      <c r="S135" s="289">
        <f t="shared" si="123"/>
        <v>32.409</v>
      </c>
      <c r="T135" s="289">
        <f t="shared" si="123"/>
        <v>32.409</v>
      </c>
      <c r="U135" s="289">
        <f t="shared" si="123"/>
        <v>32.409</v>
      </c>
      <c r="W135" s="289">
        <f t="shared" ref="W135:Z135" si="124">INDEX($F135:$U135,1,MATCH(W$108,$F$108:$U$108,0))</f>
        <v>29.687</v>
      </c>
      <c r="X135" s="289">
        <f t="shared" si="124"/>
        <v>32.409</v>
      </c>
      <c r="Y135" s="289">
        <f t="shared" si="124"/>
        <v>32.409</v>
      </c>
      <c r="Z135" s="289">
        <f t="shared" si="124"/>
        <v>32.409</v>
      </c>
    </row>
    <row r="136" outlineLevel="1" spans="3:26">
      <c r="C136" s="51" t="s">
        <v>269</v>
      </c>
      <c r="D136" s="181" t="s">
        <v>48</v>
      </c>
      <c r="F136" s="264">
        <v>6.764</v>
      </c>
      <c r="G136" s="264">
        <v>6.727</v>
      </c>
      <c r="H136" s="264">
        <v>6.839</v>
      </c>
      <c r="I136" s="264">
        <v>6.598</v>
      </c>
      <c r="J136" s="264">
        <v>6.573</v>
      </c>
      <c r="K136" s="289">
        <f t="shared" ref="K136:U136" si="125">+J136+K156</f>
        <v>7.5138</v>
      </c>
      <c r="L136" s="289">
        <f t="shared" si="125"/>
        <v>8.16815</v>
      </c>
      <c r="M136" s="289">
        <f t="shared" si="125"/>
        <v>11.73985</v>
      </c>
      <c r="N136" s="289">
        <f t="shared" si="125"/>
        <v>12.8581</v>
      </c>
      <c r="O136" s="289">
        <f t="shared" si="125"/>
        <v>13.93435</v>
      </c>
      <c r="P136" s="289">
        <f t="shared" si="125"/>
        <v>14.92219</v>
      </c>
      <c r="Q136" s="289">
        <f t="shared" si="125"/>
        <v>15.6092575</v>
      </c>
      <c r="R136" s="289">
        <f t="shared" si="125"/>
        <v>19.3595425</v>
      </c>
      <c r="S136" s="289">
        <f t="shared" si="125"/>
        <v>20.533705</v>
      </c>
      <c r="T136" s="289">
        <f t="shared" si="125"/>
        <v>21.6637675</v>
      </c>
      <c r="U136" s="289">
        <f t="shared" si="125"/>
        <v>22.7009995</v>
      </c>
      <c r="W136" s="289">
        <f t="shared" ref="W136:Z136" si="126">INDEX($F136:$U136,1,MATCH(W$108,$F$108:$U$108,0))</f>
        <v>6.598</v>
      </c>
      <c r="X136" s="289">
        <f t="shared" si="126"/>
        <v>11.73985</v>
      </c>
      <c r="Y136" s="289">
        <f t="shared" si="126"/>
        <v>15.6092575</v>
      </c>
      <c r="Z136" s="289">
        <f t="shared" si="126"/>
        <v>22.7009995</v>
      </c>
    </row>
    <row r="137" outlineLevel="1" spans="3:26">
      <c r="C137" s="189" t="s">
        <v>270</v>
      </c>
      <c r="D137" s="190" t="s">
        <v>48</v>
      </c>
      <c r="E137" s="212"/>
      <c r="F137" s="325">
        <f t="shared" ref="F137:U137" si="127">SUM(F133:F136)</f>
        <v>4445.21</v>
      </c>
      <c r="G137" s="325">
        <f t="shared" si="127"/>
        <v>4325.642</v>
      </c>
      <c r="H137" s="325">
        <f t="shared" si="127"/>
        <v>5196.648</v>
      </c>
      <c r="I137" s="325">
        <f t="shared" si="127"/>
        <v>5132.297</v>
      </c>
      <c r="J137" s="325">
        <f t="shared" si="127"/>
        <v>5070.445</v>
      </c>
      <c r="K137" s="325">
        <f t="shared" si="127"/>
        <v>4988.69891882683</v>
      </c>
      <c r="L137" s="325">
        <f t="shared" si="127"/>
        <v>4881.65078752162</v>
      </c>
      <c r="M137" s="325">
        <f t="shared" si="127"/>
        <v>4935.20896057513</v>
      </c>
      <c r="N137" s="325">
        <f t="shared" si="127"/>
        <v>4692.87015132101</v>
      </c>
      <c r="O137" s="325">
        <f t="shared" si="127"/>
        <v>4591.5840462943</v>
      </c>
      <c r="P137" s="325">
        <f t="shared" si="127"/>
        <v>4475.59325153882</v>
      </c>
      <c r="Q137" s="325">
        <f t="shared" si="127"/>
        <v>4536.70236534529</v>
      </c>
      <c r="R137" s="325">
        <f t="shared" si="127"/>
        <v>4260.12912654337</v>
      </c>
      <c r="S137" s="325">
        <f t="shared" si="127"/>
        <v>4147.20066464811</v>
      </c>
      <c r="T137" s="325">
        <f t="shared" si="127"/>
        <v>4014.46300716514</v>
      </c>
      <c r="U137" s="325">
        <f t="shared" si="127"/>
        <v>4085.07111193906</v>
      </c>
      <c r="W137" s="325">
        <f t="shared" ref="W137:Z137" si="128">SUM(W133:W136)</f>
        <v>5132.297</v>
      </c>
      <c r="X137" s="325">
        <f t="shared" si="128"/>
        <v>4935.20896057513</v>
      </c>
      <c r="Y137" s="325">
        <f t="shared" si="128"/>
        <v>4536.70236534529</v>
      </c>
      <c r="Z137" s="325">
        <f t="shared" si="128"/>
        <v>4085.07111193906</v>
      </c>
    </row>
    <row r="138" outlineLevel="1" spans="11:26">
      <c r="K138" s="322"/>
      <c r="L138" s="322"/>
      <c r="M138" s="322"/>
      <c r="N138" s="322"/>
      <c r="O138" s="322"/>
      <c r="P138" s="322"/>
      <c r="Q138" s="322"/>
      <c r="R138" s="322"/>
      <c r="S138" s="322"/>
      <c r="T138" s="322"/>
      <c r="U138" s="322"/>
      <c r="W138" s="322"/>
      <c r="X138" s="322"/>
      <c r="Y138" s="322"/>
      <c r="Z138" s="322"/>
    </row>
    <row r="139" outlineLevel="1" spans="3:26">
      <c r="C139" s="193" t="s">
        <v>271</v>
      </c>
      <c r="D139" s="181" t="s">
        <v>48</v>
      </c>
      <c r="F139" s="326">
        <f t="shared" ref="F139:U139" si="129">+F131+F137</f>
        <v>11325.5</v>
      </c>
      <c r="G139" s="326">
        <f t="shared" si="129"/>
        <v>11201.552</v>
      </c>
      <c r="H139" s="326">
        <f t="shared" si="129"/>
        <v>12212.148</v>
      </c>
      <c r="I139" s="326">
        <f t="shared" si="129"/>
        <v>12110.686</v>
      </c>
      <c r="J139" s="326">
        <f t="shared" si="129"/>
        <v>12250.907</v>
      </c>
      <c r="K139" s="326">
        <f t="shared" si="129"/>
        <v>12334.6254181746</v>
      </c>
      <c r="L139" s="326">
        <f t="shared" si="129"/>
        <v>12413.7682673493</v>
      </c>
      <c r="M139" s="326">
        <f t="shared" si="129"/>
        <v>12550.4394821086</v>
      </c>
      <c r="N139" s="326">
        <f t="shared" si="129"/>
        <v>12468.4131203414</v>
      </c>
      <c r="O139" s="326">
        <f t="shared" si="129"/>
        <v>12449.8929107927</v>
      </c>
      <c r="P139" s="326">
        <f t="shared" si="129"/>
        <v>12541.9481263809</v>
      </c>
      <c r="Q139" s="326">
        <f t="shared" si="129"/>
        <v>12697.5108701989</v>
      </c>
      <c r="R139" s="326">
        <f t="shared" si="129"/>
        <v>12617.7258673022</v>
      </c>
      <c r="S139" s="326">
        <f t="shared" si="129"/>
        <v>12595.255728106</v>
      </c>
      <c r="T139" s="326">
        <f t="shared" si="129"/>
        <v>12684.0674749323</v>
      </c>
      <c r="U139" s="326">
        <f t="shared" si="129"/>
        <v>12862.0503438369</v>
      </c>
      <c r="W139" s="326">
        <f t="shared" ref="W139:Z139" si="130">+W131+W137</f>
        <v>12110.686</v>
      </c>
      <c r="X139" s="326">
        <f t="shared" si="130"/>
        <v>12550.4394821086</v>
      </c>
      <c r="Y139" s="326">
        <f t="shared" si="130"/>
        <v>12697.5108701989</v>
      </c>
      <c r="Z139" s="326">
        <f t="shared" si="130"/>
        <v>12862.0503438369</v>
      </c>
    </row>
    <row r="140" outlineLevel="1"/>
    <row r="141" outlineLevel="1" spans="3:26">
      <c r="C141" s="193" t="s">
        <v>272</v>
      </c>
      <c r="F141" s="327">
        <f t="shared" ref="F141:U141" si="131">+F125-F139</f>
        <v>0</v>
      </c>
      <c r="G141" s="327">
        <f t="shared" si="131"/>
        <v>0</v>
      </c>
      <c r="H141" s="327">
        <f t="shared" si="131"/>
        <v>0</v>
      </c>
      <c r="I141" s="327">
        <f t="shared" si="131"/>
        <v>0</v>
      </c>
      <c r="J141" s="327">
        <f t="shared" si="131"/>
        <v>0</v>
      </c>
      <c r="K141" s="327">
        <f t="shared" si="131"/>
        <v>0</v>
      </c>
      <c r="L141" s="327">
        <f t="shared" si="131"/>
        <v>0</v>
      </c>
      <c r="M141" s="327">
        <f t="shared" si="131"/>
        <v>0</v>
      </c>
      <c r="N141" s="327">
        <f t="shared" si="131"/>
        <v>0</v>
      </c>
      <c r="O141" s="327">
        <f t="shared" si="131"/>
        <v>0</v>
      </c>
      <c r="P141" s="327">
        <f t="shared" si="131"/>
        <v>0</v>
      </c>
      <c r="Q141" s="327">
        <f t="shared" si="131"/>
        <v>0</v>
      </c>
      <c r="R141" s="327">
        <f t="shared" si="131"/>
        <v>0</v>
      </c>
      <c r="S141" s="327">
        <f t="shared" si="131"/>
        <v>0</v>
      </c>
      <c r="T141" s="327">
        <f t="shared" si="131"/>
        <v>0</v>
      </c>
      <c r="U141" s="327">
        <f t="shared" si="131"/>
        <v>0</v>
      </c>
      <c r="W141" s="327">
        <f t="shared" ref="W141:Z141" si="132">+W125-W139</f>
        <v>0</v>
      </c>
      <c r="X141" s="327">
        <f t="shared" si="132"/>
        <v>0</v>
      </c>
      <c r="Y141" s="327">
        <f t="shared" si="132"/>
        <v>0</v>
      </c>
      <c r="Z141" s="327">
        <f t="shared" si="132"/>
        <v>0</v>
      </c>
    </row>
    <row r="143" spans="2:26">
      <c r="B143" s="254"/>
      <c r="C143" s="254"/>
      <c r="D143" s="255"/>
      <c r="E143" s="256"/>
      <c r="F143" s="257" t="str">
        <f>$F$28</f>
        <v>Historical:</v>
      </c>
      <c r="G143" s="257"/>
      <c r="H143" s="257"/>
      <c r="I143" s="257"/>
      <c r="J143" s="296"/>
      <c r="K143" s="297" t="str">
        <f>$K$28</f>
        <v>Projected:</v>
      </c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W143" s="257" t="str">
        <f>$W$28</f>
        <v>Historical:</v>
      </c>
      <c r="X143" s="297" t="str">
        <f>$X$28</f>
        <v>Projected:</v>
      </c>
      <c r="Y143" s="257"/>
      <c r="Z143" s="257"/>
    </row>
    <row r="144" spans="2:26">
      <c r="B144" s="173" t="s">
        <v>491</v>
      </c>
      <c r="C144" s="173"/>
      <c r="D144" s="174" t="str">
        <f>+$D$5</f>
        <v>Units:</v>
      </c>
      <c r="E144" s="175"/>
      <c r="F144" s="258">
        <f>$F$29</f>
        <v>42460</v>
      </c>
      <c r="G144" s="259">
        <f>$G$29</f>
        <v>42551</v>
      </c>
      <c r="H144" s="260">
        <f>$H$29</f>
        <v>42643</v>
      </c>
      <c r="I144" s="298">
        <f>$I$29</f>
        <v>42735</v>
      </c>
      <c r="J144" s="258">
        <f>$J$29</f>
        <v>42825</v>
      </c>
      <c r="K144" s="299">
        <f>$K$29</f>
        <v>42916</v>
      </c>
      <c r="L144" s="260">
        <f>$L$29</f>
        <v>43008</v>
      </c>
      <c r="M144" s="298">
        <f>$M$29</f>
        <v>43100</v>
      </c>
      <c r="N144" s="258">
        <f>$N$29</f>
        <v>43190</v>
      </c>
      <c r="O144" s="259">
        <f>$O$29</f>
        <v>43281</v>
      </c>
      <c r="P144" s="260">
        <f>$P$29</f>
        <v>43373</v>
      </c>
      <c r="Q144" s="298">
        <f>$Q$29</f>
        <v>43465</v>
      </c>
      <c r="R144" s="258">
        <f>$R$29</f>
        <v>43555</v>
      </c>
      <c r="S144" s="259">
        <f>$S$29</f>
        <v>43646</v>
      </c>
      <c r="T144" s="260">
        <f>$T$29</f>
        <v>43738</v>
      </c>
      <c r="U144" s="298">
        <f>$U$29</f>
        <v>43830</v>
      </c>
      <c r="W144" s="313">
        <f>$W$29</f>
        <v>42735</v>
      </c>
      <c r="X144" s="314">
        <f>$X$29</f>
        <v>43100</v>
      </c>
      <c r="Y144" s="176">
        <f>$Y$29</f>
        <v>43465</v>
      </c>
      <c r="Z144" s="176">
        <f>$Z$29</f>
        <v>43830</v>
      </c>
    </row>
    <row r="145" outlineLevel="1"/>
    <row r="146" outlineLevel="1" spans="3:26">
      <c r="C146" s="11" t="s">
        <v>492</v>
      </c>
      <c r="D146" s="736" t="s">
        <v>56</v>
      </c>
      <c r="F146" s="231">
        <f>+F118/(F$39*Num_Periods)</f>
        <v>0.0894765757171276</v>
      </c>
      <c r="G146" s="231">
        <f>+G118/(G$39*Num_Periods)</f>
        <v>0.0805282812943018</v>
      </c>
      <c r="H146" s="231">
        <f>+H118/(H$39*Num_Periods)</f>
        <v>0.0952314051250886</v>
      </c>
      <c r="I146" s="231">
        <f>+I118/(I$39*Num_Periods)</f>
        <v>0.0883939825273454</v>
      </c>
      <c r="J146" s="231">
        <f>+J118/(J$39*Num_Periods)</f>
        <v>0.0887291147885188</v>
      </c>
      <c r="K146" s="320">
        <f t="shared" ref="K146:U146" si="133">+G146</f>
        <v>0.0805282812943018</v>
      </c>
      <c r="L146" s="320">
        <f t="shared" si="133"/>
        <v>0.0952314051250886</v>
      </c>
      <c r="M146" s="320">
        <f t="shared" si="133"/>
        <v>0.0883939825273454</v>
      </c>
      <c r="N146" s="320">
        <f t="shared" si="133"/>
        <v>0.0887291147885188</v>
      </c>
      <c r="O146" s="320">
        <f t="shared" si="133"/>
        <v>0.0805282812943018</v>
      </c>
      <c r="P146" s="320">
        <f t="shared" si="133"/>
        <v>0.0952314051250886</v>
      </c>
      <c r="Q146" s="320">
        <f t="shared" si="133"/>
        <v>0.0883939825273454</v>
      </c>
      <c r="R146" s="320">
        <f t="shared" si="133"/>
        <v>0.0887291147885188</v>
      </c>
      <c r="S146" s="320">
        <f t="shared" si="133"/>
        <v>0.0805282812943018</v>
      </c>
      <c r="T146" s="320">
        <f t="shared" si="133"/>
        <v>0.0952314051250886</v>
      </c>
      <c r="U146" s="320">
        <f t="shared" si="133"/>
        <v>0.0883939825273454</v>
      </c>
      <c r="W146" s="231">
        <f t="shared" ref="W146:Z146" si="134">+W118/W$39</f>
        <v>0.0951996836915843</v>
      </c>
      <c r="X146" s="231">
        <f t="shared" si="134"/>
        <v>0.0916967590943553</v>
      </c>
      <c r="Y146" s="231">
        <f t="shared" si="134"/>
        <v>0.0917935521850232</v>
      </c>
      <c r="Z146" s="231">
        <f t="shared" si="134"/>
        <v>0.091607449542496</v>
      </c>
    </row>
    <row r="147" outlineLevel="1" spans="3:26">
      <c r="C147" s="11" t="s">
        <v>493</v>
      </c>
      <c r="D147" s="736" t="s">
        <v>56</v>
      </c>
      <c r="F147" s="231">
        <f>+F123/(F$39*Num_Periods)</f>
        <v>0.109369514814587</v>
      </c>
      <c r="G147" s="231">
        <f>+G123/(G$39*Num_Periods)</f>
        <v>0.161614886567987</v>
      </c>
      <c r="H147" s="231">
        <f>+H123/(H$39*Num_Periods)</f>
        <v>0.112713781798412</v>
      </c>
      <c r="I147" s="231">
        <f>+I123/(I$39*Num_Periods)</f>
        <v>0.112888726687668</v>
      </c>
      <c r="J147" s="231">
        <f>+J123/(J$39*Num_Periods)</f>
        <v>0.100270356667375</v>
      </c>
      <c r="K147" s="182">
        <v>0.115</v>
      </c>
      <c r="L147" s="182">
        <v>0.113</v>
      </c>
      <c r="M147" s="182">
        <v>0.113</v>
      </c>
      <c r="N147" s="182">
        <v>0.11</v>
      </c>
      <c r="O147" s="320">
        <f t="shared" ref="O147:U147" si="135">+K147</f>
        <v>0.115</v>
      </c>
      <c r="P147" s="320">
        <f t="shared" si="135"/>
        <v>0.113</v>
      </c>
      <c r="Q147" s="320">
        <f t="shared" si="135"/>
        <v>0.113</v>
      </c>
      <c r="R147" s="320">
        <f t="shared" si="135"/>
        <v>0.11</v>
      </c>
      <c r="S147" s="320">
        <f t="shared" si="135"/>
        <v>0.115</v>
      </c>
      <c r="T147" s="320">
        <f t="shared" si="135"/>
        <v>0.113</v>
      </c>
      <c r="U147" s="320">
        <f t="shared" si="135"/>
        <v>0.113</v>
      </c>
      <c r="W147" s="231">
        <f t="shared" ref="W147:Z147" si="136">+W123/W$39</f>
        <v>0.121580347052324</v>
      </c>
      <c r="X147" s="231">
        <f t="shared" si="136"/>
        <v>0.11722216243008</v>
      </c>
      <c r="Y147" s="231">
        <f t="shared" si="136"/>
        <v>0.117345899577483</v>
      </c>
      <c r="Z147" s="231">
        <f t="shared" si="136"/>
        <v>0.117107991995945</v>
      </c>
    </row>
    <row r="148" outlineLevel="1"/>
    <row r="149" outlineLevel="1" spans="3:26">
      <c r="C149" s="11" t="s">
        <v>494</v>
      </c>
      <c r="D149" s="736" t="s">
        <v>56</v>
      </c>
      <c r="F149" s="231">
        <f>-F129/(SUM(F$42:F$44)*Num_Periods)</f>
        <v>0.657230256096044</v>
      </c>
      <c r="G149" s="231">
        <f>-G129/(SUM(G$42:G$44)*Num_Periods)</f>
        <v>0.659140159089508</v>
      </c>
      <c r="H149" s="231">
        <f>-H129/(SUM(H$42:H$44)*Num_Periods)</f>
        <v>0.815968260759333</v>
      </c>
      <c r="I149" s="231">
        <f>-I129/(SUM(I$42:I$44)*Num_Periods)</f>
        <v>0.973558155982769</v>
      </c>
      <c r="J149" s="231">
        <f>-J129/(SUM(J$42:J$44)*Num_Periods)</f>
        <v>0.849137530613968</v>
      </c>
      <c r="K149" s="182">
        <v>0.85</v>
      </c>
      <c r="L149" s="182">
        <v>0.83</v>
      </c>
      <c r="M149" s="182">
        <v>0.9</v>
      </c>
      <c r="N149" s="182">
        <v>0.875</v>
      </c>
      <c r="O149" s="320">
        <f t="shared" ref="O149:U149" si="137">+K149</f>
        <v>0.85</v>
      </c>
      <c r="P149" s="320">
        <f t="shared" si="137"/>
        <v>0.83</v>
      </c>
      <c r="Q149" s="320">
        <f t="shared" si="137"/>
        <v>0.9</v>
      </c>
      <c r="R149" s="320">
        <f t="shared" si="137"/>
        <v>0.875</v>
      </c>
      <c r="S149" s="320">
        <f t="shared" si="137"/>
        <v>0.85</v>
      </c>
      <c r="T149" s="320">
        <f t="shared" si="137"/>
        <v>0.83</v>
      </c>
      <c r="U149" s="320">
        <f t="shared" si="137"/>
        <v>0.9</v>
      </c>
      <c r="W149" s="231">
        <f t="shared" ref="W149:Z149" si="138">-W129/SUM(W$42:W$44)</f>
        <v>1.02505106363624</v>
      </c>
      <c r="X149" s="231">
        <f t="shared" si="138"/>
        <v>0.948937917368695</v>
      </c>
      <c r="Y149" s="231">
        <f t="shared" si="138"/>
        <v>0.952151656071977</v>
      </c>
      <c r="Z149" s="231">
        <f t="shared" si="138"/>
        <v>0.948909196831398</v>
      </c>
    </row>
    <row r="150" outlineLevel="1" spans="3:26">
      <c r="C150" s="11" t="s">
        <v>495</v>
      </c>
      <c r="D150" s="736" t="s">
        <v>56</v>
      </c>
      <c r="F150" s="231">
        <f>-F130/(SUM(F$42:F$44)*Num_Periods)</f>
        <v>0.176106916297733</v>
      </c>
      <c r="G150" s="231">
        <f>-G130/(SUM(G$42:G$44)*Num_Periods)</f>
        <v>0.156242016895552</v>
      </c>
      <c r="H150" s="231">
        <f>-H130/(SUM(H$42:H$44)*Num_Periods)</f>
        <v>0.165001861887558</v>
      </c>
      <c r="I150" s="231">
        <f>-I130/(SUM(I$42:I$44)*Num_Periods)</f>
        <v>0.171500273259178</v>
      </c>
      <c r="J150" s="231">
        <f>-J130/(SUM(J$42:J$44)*Num_Periods)</f>
        <v>0.184488218900431</v>
      </c>
      <c r="K150" s="320">
        <f t="shared" ref="K150:U150" si="139">+G150</f>
        <v>0.156242016895552</v>
      </c>
      <c r="L150" s="320">
        <f t="shared" si="139"/>
        <v>0.165001861887558</v>
      </c>
      <c r="M150" s="320">
        <f t="shared" si="139"/>
        <v>0.171500273259178</v>
      </c>
      <c r="N150" s="320">
        <f t="shared" si="139"/>
        <v>0.184488218900431</v>
      </c>
      <c r="O150" s="320">
        <f t="shared" si="139"/>
        <v>0.156242016895552</v>
      </c>
      <c r="P150" s="320">
        <f t="shared" si="139"/>
        <v>0.165001861887558</v>
      </c>
      <c r="Q150" s="320">
        <f t="shared" si="139"/>
        <v>0.171500273259178</v>
      </c>
      <c r="R150" s="320">
        <f t="shared" si="139"/>
        <v>0.184488218900431</v>
      </c>
      <c r="S150" s="320">
        <f t="shared" si="139"/>
        <v>0.156242016895552</v>
      </c>
      <c r="T150" s="320">
        <f t="shared" si="139"/>
        <v>0.165001861887558</v>
      </c>
      <c r="U150" s="320">
        <f t="shared" si="139"/>
        <v>0.171500273259178</v>
      </c>
      <c r="W150" s="231">
        <f t="shared" ref="W150:Z150" si="140">-W130/SUM(W$42:W$44)</f>
        <v>0.180571172289925</v>
      </c>
      <c r="X150" s="231">
        <f t="shared" si="140"/>
        <v>0.180825680149696</v>
      </c>
      <c r="Y150" s="231">
        <f t="shared" si="140"/>
        <v>0.18143807688947</v>
      </c>
      <c r="Z150" s="231">
        <f t="shared" si="140"/>
        <v>0.180820207283036</v>
      </c>
    </row>
    <row r="152" spans="2:26">
      <c r="B152" s="254"/>
      <c r="C152" s="254"/>
      <c r="D152" s="255"/>
      <c r="E152" s="256"/>
      <c r="F152" s="257" t="str">
        <f>$F$28</f>
        <v>Historical:</v>
      </c>
      <c r="G152" s="257"/>
      <c r="H152" s="257"/>
      <c r="I152" s="257"/>
      <c r="J152" s="296"/>
      <c r="K152" s="297" t="str">
        <f>$K$28</f>
        <v>Projected:</v>
      </c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W152" s="257" t="str">
        <f>$W$28</f>
        <v>Historical:</v>
      </c>
      <c r="X152" s="297" t="str">
        <f>$X$28</f>
        <v>Projected:</v>
      </c>
      <c r="Y152" s="257"/>
      <c r="Z152" s="257"/>
    </row>
    <row r="153" spans="2:26">
      <c r="B153" s="173" t="s">
        <v>273</v>
      </c>
      <c r="C153" s="173"/>
      <c r="D153" s="174" t="str">
        <f>+$D$5</f>
        <v>Units:</v>
      </c>
      <c r="E153" s="175"/>
      <c r="F153" s="258">
        <f>$F$29</f>
        <v>42460</v>
      </c>
      <c r="G153" s="259">
        <f>$G$29</f>
        <v>42551</v>
      </c>
      <c r="H153" s="260">
        <f>$H$29</f>
        <v>42643</v>
      </c>
      <c r="I153" s="298">
        <f>$I$29</f>
        <v>42735</v>
      </c>
      <c r="J153" s="258">
        <f>$J$29</f>
        <v>42825</v>
      </c>
      <c r="K153" s="299">
        <f>$K$29</f>
        <v>42916</v>
      </c>
      <c r="L153" s="260">
        <f>$L$29</f>
        <v>43008</v>
      </c>
      <c r="M153" s="298">
        <f>$M$29</f>
        <v>43100</v>
      </c>
      <c r="N153" s="258">
        <f>$N$29</f>
        <v>43190</v>
      </c>
      <c r="O153" s="259">
        <f>$O$29</f>
        <v>43281</v>
      </c>
      <c r="P153" s="260">
        <f>$P$29</f>
        <v>43373</v>
      </c>
      <c r="Q153" s="298">
        <f>$Q$29</f>
        <v>43465</v>
      </c>
      <c r="R153" s="258">
        <f>$R$29</f>
        <v>43555</v>
      </c>
      <c r="S153" s="259">
        <f>$S$29</f>
        <v>43646</v>
      </c>
      <c r="T153" s="260">
        <f>$T$29</f>
        <v>43738</v>
      </c>
      <c r="U153" s="298">
        <f>$U$29</f>
        <v>43830</v>
      </c>
      <c r="W153" s="313">
        <f>$W$29</f>
        <v>42735</v>
      </c>
      <c r="X153" s="314">
        <f>$X$29</f>
        <v>43100</v>
      </c>
      <c r="Y153" s="176">
        <f>$Y$29</f>
        <v>43465</v>
      </c>
      <c r="Z153" s="176">
        <f>$Z$29</f>
        <v>43830</v>
      </c>
    </row>
    <row r="154" outlineLevel="1" spans="3:3">
      <c r="C154" s="193" t="s">
        <v>274</v>
      </c>
    </row>
    <row r="155" outlineLevel="1" spans="3:26">
      <c r="C155" s="51" t="s">
        <v>275</v>
      </c>
      <c r="D155" s="181" t="s">
        <v>48</v>
      </c>
      <c r="F155" s="329">
        <f t="shared" ref="F155:U155" si="141">+F63</f>
        <v>39.125</v>
      </c>
      <c r="G155" s="329">
        <f t="shared" si="141"/>
        <v>27.951</v>
      </c>
      <c r="H155" s="329">
        <f t="shared" si="141"/>
        <v>187.33</v>
      </c>
      <c r="I155" s="329">
        <f t="shared" si="141"/>
        <v>77.6820000000001</v>
      </c>
      <c r="J155" s="329">
        <f t="shared" si="141"/>
        <v>66.145</v>
      </c>
      <c r="K155" s="329">
        <f t="shared" si="141"/>
        <v>43.6330873647536</v>
      </c>
      <c r="L155" s="329">
        <f t="shared" si="141"/>
        <v>46.9938511320317</v>
      </c>
      <c r="M155" s="329">
        <f t="shared" si="141"/>
        <v>56.2416730535122</v>
      </c>
      <c r="N155" s="329">
        <f t="shared" si="141"/>
        <v>70.8680116888612</v>
      </c>
      <c r="O155" s="329">
        <f t="shared" si="141"/>
        <v>46.838378850264</v>
      </c>
      <c r="P155" s="329">
        <f t="shared" si="141"/>
        <v>53.0259250090605</v>
      </c>
      <c r="Q155" s="329">
        <f t="shared" si="141"/>
        <v>66.6772463064683</v>
      </c>
      <c r="R155" s="329">
        <f t="shared" si="141"/>
        <v>77.2957791450477</v>
      </c>
      <c r="S155" s="329">
        <f t="shared" si="141"/>
        <v>53.601177014773</v>
      </c>
      <c r="T155" s="329">
        <f t="shared" si="141"/>
        <v>58.1237396474209</v>
      </c>
      <c r="U155" s="329">
        <f t="shared" si="141"/>
        <v>75.8260727739185</v>
      </c>
      <c r="W155" s="301">
        <f t="shared" ref="W155:Z155" si="142">SUMIF($F$26:$U$26,W$26,$F155:$U155)</f>
        <v>332.088</v>
      </c>
      <c r="X155" s="301">
        <f t="shared" si="142"/>
        <v>213.013611550297</v>
      </c>
      <c r="Y155" s="301">
        <f t="shared" si="142"/>
        <v>237.409561854654</v>
      </c>
      <c r="Z155" s="301">
        <f t="shared" si="142"/>
        <v>264.84676858116</v>
      </c>
    </row>
    <row r="156" outlineLevel="1" spans="3:26">
      <c r="C156" s="51" t="s">
        <v>276</v>
      </c>
      <c r="D156" s="181" t="s">
        <v>48</v>
      </c>
      <c r="F156" s="309">
        <f t="shared" ref="F156:U156" si="143">-F59</f>
        <v>0.784</v>
      </c>
      <c r="G156" s="309">
        <f t="shared" si="143"/>
        <v>0.569</v>
      </c>
      <c r="H156" s="309">
        <f t="shared" si="143"/>
        <v>3.247</v>
      </c>
      <c r="I156" s="309">
        <f t="shared" si="143"/>
        <v>1.065</v>
      </c>
      <c r="J156" s="309">
        <f t="shared" si="143"/>
        <v>1.025</v>
      </c>
      <c r="K156" s="309">
        <f t="shared" si="143"/>
        <v>0.9408</v>
      </c>
      <c r="L156" s="309">
        <f t="shared" si="143"/>
        <v>0.65435</v>
      </c>
      <c r="M156" s="309">
        <f t="shared" si="143"/>
        <v>3.5717</v>
      </c>
      <c r="N156" s="309">
        <f t="shared" si="143"/>
        <v>1.11825</v>
      </c>
      <c r="O156" s="309">
        <f t="shared" si="143"/>
        <v>1.07625</v>
      </c>
      <c r="P156" s="309">
        <f t="shared" si="143"/>
        <v>0.98784</v>
      </c>
      <c r="Q156" s="309">
        <f t="shared" si="143"/>
        <v>0.6870675</v>
      </c>
      <c r="R156" s="309">
        <f t="shared" si="143"/>
        <v>3.750285</v>
      </c>
      <c r="S156" s="309">
        <f t="shared" si="143"/>
        <v>1.1741625</v>
      </c>
      <c r="T156" s="309">
        <f t="shared" si="143"/>
        <v>1.1300625</v>
      </c>
      <c r="U156" s="309">
        <f t="shared" si="143"/>
        <v>1.037232</v>
      </c>
      <c r="W156" s="302">
        <f t="shared" ref="W156:Z156" si="144">SUMIF($F$26:$U$26,W$26,$F156:$U156)</f>
        <v>5.665</v>
      </c>
      <c r="X156" s="302">
        <f t="shared" si="144"/>
        <v>6.19185</v>
      </c>
      <c r="Y156" s="302">
        <f t="shared" si="144"/>
        <v>3.8694075</v>
      </c>
      <c r="Z156" s="302">
        <f t="shared" si="144"/>
        <v>7.091742</v>
      </c>
    </row>
    <row r="157" outlineLevel="1" spans="3:26">
      <c r="C157" s="51" t="s">
        <v>277</v>
      </c>
      <c r="D157" s="181" t="s">
        <v>48</v>
      </c>
      <c r="F157" s="309">
        <f t="shared" ref="F157:U157" si="145">-F51</f>
        <v>-4.078</v>
      </c>
      <c r="G157" s="309">
        <f t="shared" si="145"/>
        <v>-4.132</v>
      </c>
      <c r="H157" s="309">
        <f t="shared" si="145"/>
        <v>-4.152</v>
      </c>
      <c r="I157" s="309">
        <f t="shared" si="145"/>
        <v>-4.742</v>
      </c>
      <c r="J157" s="309">
        <f t="shared" si="145"/>
        <v>-5.324</v>
      </c>
      <c r="K157" s="309">
        <f t="shared" si="145"/>
        <v>-4.9584</v>
      </c>
      <c r="L157" s="309">
        <f t="shared" si="145"/>
        <v>-4.7748</v>
      </c>
      <c r="M157" s="309">
        <f t="shared" si="145"/>
        <v>-5.2162</v>
      </c>
      <c r="N157" s="309">
        <f t="shared" si="145"/>
        <v>-5.5902</v>
      </c>
      <c r="O157" s="309">
        <f t="shared" si="145"/>
        <v>-5.20632</v>
      </c>
      <c r="P157" s="309">
        <f t="shared" si="145"/>
        <v>-5.01354</v>
      </c>
      <c r="Q157" s="309">
        <f t="shared" si="145"/>
        <v>-5.47701</v>
      </c>
      <c r="R157" s="309">
        <f t="shared" si="145"/>
        <v>-5.86971</v>
      </c>
      <c r="S157" s="309">
        <f t="shared" si="145"/>
        <v>-5.466636</v>
      </c>
      <c r="T157" s="309">
        <f t="shared" si="145"/>
        <v>-5.264217</v>
      </c>
      <c r="U157" s="309">
        <f t="shared" si="145"/>
        <v>-5.7508605</v>
      </c>
      <c r="W157" s="302">
        <f t="shared" ref="W157:Z157" si="146">SUMIF($F$26:$U$26,W$26,$F157:$U157)</f>
        <v>-17.104</v>
      </c>
      <c r="X157" s="302">
        <f t="shared" si="146"/>
        <v>-20.2734</v>
      </c>
      <c r="Y157" s="302">
        <f t="shared" si="146"/>
        <v>-21.28707</v>
      </c>
      <c r="Z157" s="302">
        <f t="shared" si="146"/>
        <v>-22.3514235</v>
      </c>
    </row>
    <row r="158" outlineLevel="1" spans="3:26">
      <c r="C158" s="51" t="s">
        <v>278</v>
      </c>
      <c r="D158" s="181" t="s">
        <v>48</v>
      </c>
      <c r="F158" s="264">
        <v>4.115</v>
      </c>
      <c r="G158" s="264">
        <v>4.453</v>
      </c>
      <c r="H158" s="264">
        <v>4.01</v>
      </c>
      <c r="I158" s="264">
        <v>4.177</v>
      </c>
      <c r="J158" s="264">
        <v>4.448</v>
      </c>
      <c r="K158" s="309">
        <f t="shared" ref="K158:U158" si="147">-K157*K191</f>
        <v>4.21464</v>
      </c>
      <c r="L158" s="309">
        <f t="shared" si="147"/>
        <v>4.53606</v>
      </c>
      <c r="M158" s="309">
        <f t="shared" si="147"/>
        <v>4.69458</v>
      </c>
      <c r="N158" s="309">
        <f t="shared" si="147"/>
        <v>4.47216</v>
      </c>
      <c r="O158" s="309">
        <f t="shared" si="147"/>
        <v>4.425372</v>
      </c>
      <c r="P158" s="309">
        <f t="shared" si="147"/>
        <v>4.762863</v>
      </c>
      <c r="Q158" s="309">
        <f t="shared" si="147"/>
        <v>4.929309</v>
      </c>
      <c r="R158" s="309">
        <f t="shared" si="147"/>
        <v>4.695768</v>
      </c>
      <c r="S158" s="309">
        <f t="shared" si="147"/>
        <v>4.6466406</v>
      </c>
      <c r="T158" s="309">
        <f t="shared" si="147"/>
        <v>5.00100615</v>
      </c>
      <c r="U158" s="309">
        <f t="shared" si="147"/>
        <v>5.17577445</v>
      </c>
      <c r="W158" s="302">
        <f t="shared" ref="W158:Z158" si="148">SUMIF($F$26:$U$26,W$26,$F158:$U158)</f>
        <v>16.755</v>
      </c>
      <c r="X158" s="302">
        <f t="shared" si="148"/>
        <v>17.89328</v>
      </c>
      <c r="Y158" s="302">
        <f t="shared" si="148"/>
        <v>18.589704</v>
      </c>
      <c r="Z158" s="302">
        <f t="shared" si="148"/>
        <v>19.5191892</v>
      </c>
    </row>
    <row r="159" outlineLevel="1" spans="3:26">
      <c r="C159" s="51" t="s">
        <v>279</v>
      </c>
      <c r="D159" s="181" t="s">
        <v>48</v>
      </c>
      <c r="F159" s="309">
        <f t="shared" ref="F159:U159" si="149">-F45</f>
        <v>169.016</v>
      </c>
      <c r="G159" s="309">
        <f t="shared" si="149"/>
        <v>175.594</v>
      </c>
      <c r="H159" s="309">
        <f t="shared" si="149"/>
        <v>178.133</v>
      </c>
      <c r="I159" s="309">
        <f t="shared" si="149"/>
        <v>176.581</v>
      </c>
      <c r="J159" s="309">
        <f t="shared" si="149"/>
        <v>176.466</v>
      </c>
      <c r="K159" s="309">
        <f t="shared" si="149"/>
        <v>180.115914473542</v>
      </c>
      <c r="L159" s="309">
        <f t="shared" si="149"/>
        <v>188.883617379778</v>
      </c>
      <c r="M159" s="309">
        <f t="shared" si="149"/>
        <v>179.393942471997</v>
      </c>
      <c r="N159" s="309">
        <f t="shared" si="149"/>
        <v>198.665386893146</v>
      </c>
      <c r="O159" s="309">
        <f t="shared" si="149"/>
        <v>199.894993736762</v>
      </c>
      <c r="P159" s="309">
        <f t="shared" si="149"/>
        <v>209.913797594087</v>
      </c>
      <c r="Q159" s="309">
        <f t="shared" si="149"/>
        <v>199.499668666754</v>
      </c>
      <c r="R159" s="309">
        <f t="shared" si="149"/>
        <v>225.393597681243</v>
      </c>
      <c r="S159" s="309">
        <f t="shared" si="149"/>
        <v>225.720196930876</v>
      </c>
      <c r="T159" s="309">
        <f t="shared" si="149"/>
        <v>235.982955528435</v>
      </c>
      <c r="U159" s="309">
        <f t="shared" si="149"/>
        <v>224.66649538963</v>
      </c>
      <c r="W159" s="302">
        <f t="shared" ref="W159:Z159" si="150">SUMIF($F$26:$U$26,W$26,$F159:$U159)</f>
        <v>699.324</v>
      </c>
      <c r="X159" s="302">
        <f t="shared" si="150"/>
        <v>724.859474325317</v>
      </c>
      <c r="Y159" s="302">
        <f t="shared" si="150"/>
        <v>807.973846890749</v>
      </c>
      <c r="Z159" s="302">
        <f t="shared" si="150"/>
        <v>911.763245530184</v>
      </c>
    </row>
    <row r="160" outlineLevel="1" spans="3:26">
      <c r="C160" s="51" t="s">
        <v>281</v>
      </c>
      <c r="D160" s="181" t="s">
        <v>48</v>
      </c>
      <c r="F160" s="309">
        <f t="shared" ref="F160:U160" si="151">-F52</f>
        <v>-1.097</v>
      </c>
      <c r="G160" s="309">
        <f t="shared" si="151"/>
        <v>0</v>
      </c>
      <c r="H160" s="309">
        <f t="shared" si="151"/>
        <v>-169</v>
      </c>
      <c r="I160" s="309">
        <f t="shared" si="151"/>
        <v>0.195</v>
      </c>
      <c r="J160" s="309">
        <f t="shared" si="151"/>
        <v>0.522</v>
      </c>
      <c r="K160" s="309">
        <f t="shared" si="151"/>
        <v>0</v>
      </c>
      <c r="L160" s="309">
        <f t="shared" si="151"/>
        <v>0</v>
      </c>
      <c r="M160" s="309">
        <f t="shared" si="151"/>
        <v>0</v>
      </c>
      <c r="N160" s="309">
        <f t="shared" si="151"/>
        <v>0</v>
      </c>
      <c r="O160" s="309">
        <f t="shared" si="151"/>
        <v>0</v>
      </c>
      <c r="P160" s="309">
        <f t="shared" si="151"/>
        <v>0</v>
      </c>
      <c r="Q160" s="309">
        <f t="shared" si="151"/>
        <v>0</v>
      </c>
      <c r="R160" s="309">
        <f t="shared" si="151"/>
        <v>0</v>
      </c>
      <c r="S160" s="309">
        <f t="shared" si="151"/>
        <v>0</v>
      </c>
      <c r="T160" s="309">
        <f t="shared" si="151"/>
        <v>0</v>
      </c>
      <c r="U160" s="309">
        <f t="shared" si="151"/>
        <v>0</v>
      </c>
      <c r="W160" s="302">
        <f t="shared" ref="W160:Z160" si="152">SUMIF($F$26:$U$26,W$26,$F160:$U160)</f>
        <v>-169.902</v>
      </c>
      <c r="X160" s="302">
        <f t="shared" si="152"/>
        <v>0.522</v>
      </c>
      <c r="Y160" s="302">
        <f t="shared" si="152"/>
        <v>0</v>
      </c>
      <c r="Z160" s="302">
        <f t="shared" si="152"/>
        <v>0</v>
      </c>
    </row>
    <row r="161" outlineLevel="1" spans="3:26">
      <c r="C161" s="51" t="s">
        <v>282</v>
      </c>
      <c r="D161" s="181" t="s">
        <v>48</v>
      </c>
      <c r="F161" s="264">
        <v>-1.801</v>
      </c>
      <c r="G161" s="264">
        <v>0.379</v>
      </c>
      <c r="H161" s="264">
        <v>0.37</v>
      </c>
      <c r="I161" s="264">
        <v>-0.114</v>
      </c>
      <c r="J161" s="264">
        <v>0.129</v>
      </c>
      <c r="K161" s="333">
        <f t="shared" ref="K161:U161" si="153">+K192*K39</f>
        <v>-1.89227783875046</v>
      </c>
      <c r="L161" s="333">
        <f t="shared" si="153"/>
        <v>0.421277236864695</v>
      </c>
      <c r="M161" s="333">
        <f t="shared" si="153"/>
        <v>0.391942328919432</v>
      </c>
      <c r="N161" s="333">
        <f t="shared" si="153"/>
        <v>-0.120817051946352</v>
      </c>
      <c r="O161" s="333">
        <f t="shared" si="153"/>
        <v>0.137752965258734</v>
      </c>
      <c r="P161" s="333">
        <f t="shared" si="153"/>
        <v>-2.27215931195848</v>
      </c>
      <c r="Q161" s="333">
        <f t="shared" si="153"/>
        <v>0.473661544252398</v>
      </c>
      <c r="R161" s="333">
        <f t="shared" si="153"/>
        <v>0.469714863590726</v>
      </c>
      <c r="S161" s="333">
        <f t="shared" si="153"/>
        <v>-0.131214216452622</v>
      </c>
      <c r="T161" s="333">
        <f t="shared" si="153"/>
        <v>0.167550084758969</v>
      </c>
      <c r="U161" s="333">
        <f t="shared" si="153"/>
        <v>-2.58873949601392</v>
      </c>
      <c r="W161" s="302">
        <f t="shared" ref="W161:Z161" si="154">SUMIF($F$26:$U$26,W$26,$F161:$U161)</f>
        <v>-1.166</v>
      </c>
      <c r="X161" s="302">
        <f t="shared" si="154"/>
        <v>-0.950058272966335</v>
      </c>
      <c r="Y161" s="302">
        <f t="shared" si="154"/>
        <v>-1.7815618543937</v>
      </c>
      <c r="Z161" s="302">
        <f t="shared" si="154"/>
        <v>-2.08268876411684</v>
      </c>
    </row>
    <row r="162" outlineLevel="1" spans="3:26">
      <c r="C162" s="51" t="s">
        <v>284</v>
      </c>
      <c r="D162" s="181" t="s">
        <v>48</v>
      </c>
      <c r="F162" s="264">
        <v>-2.266</v>
      </c>
      <c r="G162" s="264">
        <v>-1.997</v>
      </c>
      <c r="H162" s="264">
        <v>-2.002</v>
      </c>
      <c r="I162" s="264">
        <v>-2.048</v>
      </c>
      <c r="J162" s="264">
        <v>-1.973</v>
      </c>
      <c r="K162" s="334">
        <f t="shared" ref="K162:U162" si="155">+G162</f>
        <v>-1.997</v>
      </c>
      <c r="L162" s="334">
        <f t="shared" si="155"/>
        <v>-2.002</v>
      </c>
      <c r="M162" s="334">
        <f t="shared" si="155"/>
        <v>-2.048</v>
      </c>
      <c r="N162" s="334">
        <f t="shared" si="155"/>
        <v>-1.973</v>
      </c>
      <c r="O162" s="334">
        <f t="shared" si="155"/>
        <v>-1.997</v>
      </c>
      <c r="P162" s="334">
        <f t="shared" si="155"/>
        <v>-2.002</v>
      </c>
      <c r="Q162" s="334">
        <f t="shared" si="155"/>
        <v>-2.048</v>
      </c>
      <c r="R162" s="334">
        <f t="shared" si="155"/>
        <v>-1.973</v>
      </c>
      <c r="S162" s="334">
        <f t="shared" si="155"/>
        <v>-1.997</v>
      </c>
      <c r="T162" s="334">
        <f t="shared" si="155"/>
        <v>-2.002</v>
      </c>
      <c r="U162" s="338">
        <f t="shared" si="155"/>
        <v>-2.048</v>
      </c>
      <c r="W162" s="302">
        <f t="shared" ref="W162:Z162" si="156">SUMIF($F$26:$U$26,W$26,$F162:$U162)</f>
        <v>-8.313</v>
      </c>
      <c r="X162" s="302">
        <f t="shared" si="156"/>
        <v>-8.02</v>
      </c>
      <c r="Y162" s="302">
        <f t="shared" si="156"/>
        <v>-8.02</v>
      </c>
      <c r="Z162" s="302">
        <f t="shared" si="156"/>
        <v>-8.02</v>
      </c>
    </row>
    <row r="163" outlineLevel="1" spans="3:26">
      <c r="C163" s="51" t="s">
        <v>288</v>
      </c>
      <c r="D163" s="181" t="s">
        <v>48</v>
      </c>
      <c r="F163" s="264">
        <v>0</v>
      </c>
      <c r="G163" s="264">
        <v>0</v>
      </c>
      <c r="H163" s="264">
        <v>0</v>
      </c>
      <c r="I163" s="264">
        <v>0</v>
      </c>
      <c r="J163" s="264">
        <v>0</v>
      </c>
      <c r="K163" s="334">
        <f t="shared" ref="K163:U163" si="157">+J163</f>
        <v>0</v>
      </c>
      <c r="L163" s="334">
        <f t="shared" si="157"/>
        <v>0</v>
      </c>
      <c r="M163" s="334">
        <f t="shared" si="157"/>
        <v>0</v>
      </c>
      <c r="N163" s="334">
        <f t="shared" si="157"/>
        <v>0</v>
      </c>
      <c r="O163" s="334">
        <f t="shared" si="157"/>
        <v>0</v>
      </c>
      <c r="P163" s="334">
        <f t="shared" si="157"/>
        <v>0</v>
      </c>
      <c r="Q163" s="334">
        <f t="shared" si="157"/>
        <v>0</v>
      </c>
      <c r="R163" s="334">
        <f t="shared" si="157"/>
        <v>0</v>
      </c>
      <c r="S163" s="334">
        <f t="shared" si="157"/>
        <v>0</v>
      </c>
      <c r="T163" s="334">
        <f t="shared" si="157"/>
        <v>0</v>
      </c>
      <c r="U163" s="338">
        <f t="shared" si="157"/>
        <v>0</v>
      </c>
      <c r="W163" s="302">
        <f t="shared" ref="W163:Z163" si="158">SUMIF($F$26:$U$26,W$26,$F163:$U163)</f>
        <v>0</v>
      </c>
      <c r="X163" s="302">
        <f t="shared" si="158"/>
        <v>0</v>
      </c>
      <c r="Y163" s="302">
        <f t="shared" si="158"/>
        <v>0</v>
      </c>
      <c r="Z163" s="302">
        <f t="shared" si="158"/>
        <v>0</v>
      </c>
    </row>
    <row r="164" outlineLevel="1" spans="3:26">
      <c r="C164" s="51" t="s">
        <v>289</v>
      </c>
      <c r="D164" s="181" t="s">
        <v>48</v>
      </c>
      <c r="F164" s="264">
        <v>7.9549999999999</v>
      </c>
      <c r="G164" s="264">
        <v>9.64800000000003</v>
      </c>
      <c r="H164" s="264">
        <v>21.498</v>
      </c>
      <c r="I164" s="264">
        <v>-6.93899999999994</v>
      </c>
      <c r="J164" s="264">
        <v>6.00100000000002</v>
      </c>
      <c r="K164" s="334">
        <f>AVERAGE(F164:J164)</f>
        <v>7.6326</v>
      </c>
      <c r="L164" s="334">
        <f t="shared" ref="L164:U164" si="159">+K164</f>
        <v>7.6326</v>
      </c>
      <c r="M164" s="334">
        <f t="shared" si="159"/>
        <v>7.6326</v>
      </c>
      <c r="N164" s="334">
        <f t="shared" si="159"/>
        <v>7.6326</v>
      </c>
      <c r="O164" s="334">
        <f t="shared" si="159"/>
        <v>7.6326</v>
      </c>
      <c r="P164" s="334">
        <f t="shared" si="159"/>
        <v>7.6326</v>
      </c>
      <c r="Q164" s="334">
        <f t="shared" si="159"/>
        <v>7.6326</v>
      </c>
      <c r="R164" s="334">
        <f t="shared" si="159"/>
        <v>7.6326</v>
      </c>
      <c r="S164" s="334">
        <f t="shared" si="159"/>
        <v>7.6326</v>
      </c>
      <c r="T164" s="334">
        <f t="shared" si="159"/>
        <v>7.6326</v>
      </c>
      <c r="U164" s="338">
        <f t="shared" si="159"/>
        <v>7.6326</v>
      </c>
      <c r="W164" s="302">
        <f t="shared" ref="W164:Z164" si="160">SUMIF($F$26:$U$26,W$26,$F164:$U164)</f>
        <v>32.162</v>
      </c>
      <c r="X164" s="302">
        <f t="shared" si="160"/>
        <v>28.8988</v>
      </c>
      <c r="Y164" s="302">
        <f t="shared" si="160"/>
        <v>30.5304</v>
      </c>
      <c r="Z164" s="302">
        <f t="shared" si="160"/>
        <v>30.5304</v>
      </c>
    </row>
    <row r="165" outlineLevel="1" spans="3:26">
      <c r="C165" s="51" t="s">
        <v>290</v>
      </c>
      <c r="D165" s="200" t="s">
        <v>48</v>
      </c>
      <c r="F165" s="264">
        <v>-53.6</v>
      </c>
      <c r="G165" s="264">
        <v>-18.963</v>
      </c>
      <c r="H165" s="264">
        <v>-10.581</v>
      </c>
      <c r="I165" s="264">
        <v>38.342</v>
      </c>
      <c r="J165" s="264">
        <v>-45.778</v>
      </c>
      <c r="K165" s="335">
        <f t="shared" ref="K165:U165" si="161">+J118-K118+J123-K123+K129-J129+K130-J130</f>
        <v>-48.960932389851</v>
      </c>
      <c r="L165" s="335">
        <f t="shared" si="161"/>
        <v>41.0299956988835</v>
      </c>
      <c r="M165" s="335">
        <f t="shared" si="161"/>
        <v>93.6796636398437</v>
      </c>
      <c r="N165" s="335">
        <f t="shared" si="161"/>
        <v>-27.9218388679561</v>
      </c>
      <c r="O165" s="335">
        <f t="shared" si="161"/>
        <v>-48.8018844157293</v>
      </c>
      <c r="P165" s="335">
        <f t="shared" si="161"/>
        <v>45.6397547021199</v>
      </c>
      <c r="Q165" s="335">
        <f t="shared" si="161"/>
        <v>105.853400860121</v>
      </c>
      <c r="R165" s="335">
        <f t="shared" si="161"/>
        <v>-10.7565135537613</v>
      </c>
      <c r="S165" s="335">
        <f t="shared" si="161"/>
        <v>-57.952555257801</v>
      </c>
      <c r="T165" s="335">
        <f t="shared" si="161"/>
        <v>47.5338602329759</v>
      </c>
      <c r="U165" s="335">
        <f t="shared" si="161"/>
        <v>119.174211529612</v>
      </c>
      <c r="W165" s="302">
        <f t="shared" ref="W165:Z165" si="162">SUMIF($F$26:$U$26,W$26,$F165:$U165)</f>
        <v>-44.802</v>
      </c>
      <c r="X165" s="302">
        <f t="shared" si="162"/>
        <v>39.9707269488763</v>
      </c>
      <c r="Y165" s="302">
        <f t="shared" si="162"/>
        <v>74.7694322785556</v>
      </c>
      <c r="Z165" s="302">
        <f t="shared" si="162"/>
        <v>97.9990029510256</v>
      </c>
    </row>
    <row r="166" outlineLevel="1" spans="3:26">
      <c r="C166" s="189" t="s">
        <v>274</v>
      </c>
      <c r="D166" s="181" t="s">
        <v>48</v>
      </c>
      <c r="E166" s="212"/>
      <c r="F166" s="276">
        <f t="shared" ref="F166:U166" si="163">SUM(F155:F165)</f>
        <v>158.153</v>
      </c>
      <c r="G166" s="276">
        <f t="shared" si="163"/>
        <v>193.502</v>
      </c>
      <c r="H166" s="276">
        <f t="shared" si="163"/>
        <v>208.853</v>
      </c>
      <c r="I166" s="276">
        <f t="shared" si="163"/>
        <v>284.199</v>
      </c>
      <c r="J166" s="276">
        <f t="shared" si="163"/>
        <v>201.661</v>
      </c>
      <c r="K166" s="209">
        <f t="shared" si="163"/>
        <v>178.728431609694</v>
      </c>
      <c r="L166" s="209">
        <f t="shared" si="163"/>
        <v>283.374951447558</v>
      </c>
      <c r="M166" s="209">
        <f t="shared" si="163"/>
        <v>338.341901494272</v>
      </c>
      <c r="N166" s="209">
        <f t="shared" si="163"/>
        <v>247.150552662104</v>
      </c>
      <c r="O166" s="209">
        <f t="shared" si="163"/>
        <v>204.000143136555</v>
      </c>
      <c r="P166" s="209">
        <f t="shared" si="163"/>
        <v>312.675080993309</v>
      </c>
      <c r="Q166" s="209">
        <f t="shared" si="163"/>
        <v>378.227943877596</v>
      </c>
      <c r="R166" s="209">
        <f t="shared" si="163"/>
        <v>300.63852113612</v>
      </c>
      <c r="S166" s="209">
        <f t="shared" si="163"/>
        <v>227.227371571396</v>
      </c>
      <c r="T166" s="209">
        <f t="shared" si="163"/>
        <v>348.305557143591</v>
      </c>
      <c r="U166" s="209">
        <f t="shared" si="163"/>
        <v>423.124786147146</v>
      </c>
      <c r="W166" s="325">
        <f t="shared" ref="W166:Z166" si="164">SUM(W155:W165)</f>
        <v>844.707</v>
      </c>
      <c r="X166" s="325">
        <f t="shared" si="164"/>
        <v>1002.10628455152</v>
      </c>
      <c r="Y166" s="325">
        <f t="shared" si="164"/>
        <v>1142.05372066956</v>
      </c>
      <c r="Z166" s="325">
        <f t="shared" si="164"/>
        <v>1299.29623599825</v>
      </c>
    </row>
    <row r="167" outlineLevel="1"/>
    <row r="168" outlineLevel="1" spans="3:3">
      <c r="C168" s="193" t="s">
        <v>291</v>
      </c>
    </row>
    <row r="169" outlineLevel="1" spans="3:26">
      <c r="C169" s="51" t="s">
        <v>292</v>
      </c>
      <c r="D169" s="181" t="s">
        <v>48</v>
      </c>
      <c r="F169" s="263">
        <v>-21.064</v>
      </c>
      <c r="G169" s="263">
        <v>-17.914</v>
      </c>
      <c r="H169" s="263">
        <v>-15.252</v>
      </c>
      <c r="I169" s="263">
        <v>-21.246</v>
      </c>
      <c r="J169" s="263">
        <v>-29.588</v>
      </c>
      <c r="K169" s="336">
        <f t="shared" ref="K169:U169" si="165">-K194*K39</f>
        <v>-18.4295262732644</v>
      </c>
      <c r="L169" s="336">
        <f t="shared" si="165"/>
        <v>-15.9801743213522</v>
      </c>
      <c r="M169" s="336">
        <f t="shared" si="165"/>
        <v>-21.3161022194308</v>
      </c>
      <c r="N169" s="336">
        <f t="shared" si="165"/>
        <v>-32.8505542861149</v>
      </c>
      <c r="O169" s="336">
        <f t="shared" si="165"/>
        <v>-20.4533289006332</v>
      </c>
      <c r="P169" s="336">
        <f t="shared" si="165"/>
        <v>-17.7593966302854</v>
      </c>
      <c r="Q169" s="336">
        <f t="shared" si="165"/>
        <v>-23.7051222100598</v>
      </c>
      <c r="R169" s="336">
        <f t="shared" si="165"/>
        <v>-37.2702297675684</v>
      </c>
      <c r="S169" s="336">
        <f t="shared" si="165"/>
        <v>-23.0957731408852</v>
      </c>
      <c r="T169" s="336">
        <f t="shared" si="165"/>
        <v>-19.9649330022627</v>
      </c>
      <c r="U169" s="336">
        <f t="shared" si="165"/>
        <v>-26.6955166658105</v>
      </c>
      <c r="W169" s="301">
        <f t="shared" ref="W169:Z169" si="166">SUMIF($F$26:$U$26,W$26,$F169:$U169)</f>
        <v>-75.476</v>
      </c>
      <c r="X169" s="301">
        <f t="shared" si="166"/>
        <v>-85.3138028140475</v>
      </c>
      <c r="Y169" s="301">
        <f t="shared" si="166"/>
        <v>-94.7684020270933</v>
      </c>
      <c r="Z169" s="301">
        <f t="shared" si="166"/>
        <v>-107.026452576527</v>
      </c>
    </row>
    <row r="170" outlineLevel="1" spans="3:26">
      <c r="C170" s="51" t="s">
        <v>293</v>
      </c>
      <c r="D170" s="181" t="s">
        <v>48</v>
      </c>
      <c r="F170" s="264">
        <v>-4.719</v>
      </c>
      <c r="G170" s="264">
        <v>-4.132</v>
      </c>
      <c r="H170" s="264">
        <v>-4.581</v>
      </c>
      <c r="I170" s="264">
        <v>-5.479</v>
      </c>
      <c r="J170" s="264">
        <v>-4.127</v>
      </c>
      <c r="K170" s="302">
        <f t="shared" ref="K170:U170" si="167">-K195*K39</f>
        <v>-4.25091004583726</v>
      </c>
      <c r="L170" s="302">
        <f t="shared" si="167"/>
        <v>-4.79971010792779</v>
      </c>
      <c r="M170" s="302">
        <f t="shared" si="167"/>
        <v>-5.49707822932606</v>
      </c>
      <c r="N170" s="302">
        <f t="shared" si="167"/>
        <v>-4.58206832292808</v>
      </c>
      <c r="O170" s="302">
        <f t="shared" si="167"/>
        <v>-4.71771547490323</v>
      </c>
      <c r="P170" s="302">
        <f t="shared" si="167"/>
        <v>-5.33410673769589</v>
      </c>
      <c r="Q170" s="302">
        <f t="shared" si="167"/>
        <v>-6.11316787107774</v>
      </c>
      <c r="R170" s="302">
        <f t="shared" si="167"/>
        <v>-5.19853448191005</v>
      </c>
      <c r="S170" s="302">
        <f t="shared" si="167"/>
        <v>-5.3272152851478</v>
      </c>
      <c r="T170" s="302">
        <f t="shared" si="167"/>
        <v>-5.996548523693</v>
      </c>
      <c r="U170" s="302">
        <f t="shared" si="167"/>
        <v>-6.88434226734329</v>
      </c>
      <c r="W170" s="302">
        <f t="shared" ref="W170:Z170" si="168">SUMIF($F$26:$U$26,W$26,$F170:$U170)</f>
        <v>-18.911</v>
      </c>
      <c r="X170" s="302">
        <f t="shared" si="168"/>
        <v>-18.6746983830911</v>
      </c>
      <c r="Y170" s="302">
        <f t="shared" si="168"/>
        <v>-20.7470584066049</v>
      </c>
      <c r="Z170" s="302">
        <f t="shared" si="168"/>
        <v>-23.4066405580941</v>
      </c>
    </row>
    <row r="171" outlineLevel="1" spans="3:26">
      <c r="C171" s="51" t="s">
        <v>294</v>
      </c>
      <c r="D171" s="181" t="s">
        <v>48</v>
      </c>
      <c r="F171" s="264">
        <v>-169.017</v>
      </c>
      <c r="G171" s="264">
        <v>-130.554</v>
      </c>
      <c r="H171" s="264">
        <v>-1063.267</v>
      </c>
      <c r="I171" s="264">
        <v>-846.575</v>
      </c>
      <c r="J171" s="264">
        <v>-239.285</v>
      </c>
      <c r="K171" s="302">
        <f t="shared" ref="K171:U171" si="169">-K82</f>
        <v>-180</v>
      </c>
      <c r="L171" s="302">
        <f t="shared" si="169"/>
        <v>-180</v>
      </c>
      <c r="M171" s="302">
        <f t="shared" si="169"/>
        <v>-180</v>
      </c>
      <c r="N171" s="302">
        <f t="shared" si="169"/>
        <v>-190</v>
      </c>
      <c r="O171" s="302">
        <f t="shared" si="169"/>
        <v>-190</v>
      </c>
      <c r="P171" s="302">
        <f t="shared" si="169"/>
        <v>-200</v>
      </c>
      <c r="Q171" s="302">
        <f t="shared" si="169"/>
        <v>-200</v>
      </c>
      <c r="R171" s="302">
        <f t="shared" si="169"/>
        <v>-215</v>
      </c>
      <c r="S171" s="302">
        <f t="shared" si="169"/>
        <v>-215</v>
      </c>
      <c r="T171" s="302">
        <f t="shared" si="169"/>
        <v>-215</v>
      </c>
      <c r="U171" s="302">
        <f t="shared" si="169"/>
        <v>-215</v>
      </c>
      <c r="W171" s="302">
        <f t="shared" ref="W171:Z171" si="170">SUMIF($F$26:$U$26,W$26,$F171:$U171)</f>
        <v>-2209.413</v>
      </c>
      <c r="X171" s="302">
        <f t="shared" si="170"/>
        <v>-779.285</v>
      </c>
      <c r="Y171" s="302">
        <f t="shared" si="170"/>
        <v>-780</v>
      </c>
      <c r="Z171" s="302">
        <f t="shared" si="170"/>
        <v>-860</v>
      </c>
    </row>
    <row r="172" outlineLevel="1" spans="3:26">
      <c r="C172" s="51" t="s">
        <v>295</v>
      </c>
      <c r="D172" s="181" t="s">
        <v>48</v>
      </c>
      <c r="F172" s="264">
        <v>35.769</v>
      </c>
      <c r="G172" s="264">
        <v>0</v>
      </c>
      <c r="H172" s="264">
        <v>323.55</v>
      </c>
      <c r="I172" s="264">
        <v>656.266</v>
      </c>
      <c r="J172" s="264">
        <v>0</v>
      </c>
      <c r="K172" s="337">
        <v>0</v>
      </c>
      <c r="L172" s="334">
        <f t="shared" ref="L172:U172" si="171">+K172</f>
        <v>0</v>
      </c>
      <c r="M172" s="334">
        <f t="shared" si="171"/>
        <v>0</v>
      </c>
      <c r="N172" s="334">
        <f t="shared" si="171"/>
        <v>0</v>
      </c>
      <c r="O172" s="338">
        <f t="shared" si="171"/>
        <v>0</v>
      </c>
      <c r="P172" s="338">
        <f t="shared" si="171"/>
        <v>0</v>
      </c>
      <c r="Q172" s="338">
        <f t="shared" si="171"/>
        <v>0</v>
      </c>
      <c r="R172" s="338">
        <f t="shared" si="171"/>
        <v>0</v>
      </c>
      <c r="S172" s="338">
        <f t="shared" si="171"/>
        <v>0</v>
      </c>
      <c r="T172" s="338">
        <f t="shared" si="171"/>
        <v>0</v>
      </c>
      <c r="U172" s="338">
        <f t="shared" si="171"/>
        <v>0</v>
      </c>
      <c r="W172" s="302">
        <f t="shared" ref="W172:Z172" si="172">SUMIF($F$26:$U$26,W$26,$F172:$U172)</f>
        <v>1015.585</v>
      </c>
      <c r="X172" s="302">
        <f t="shared" si="172"/>
        <v>0</v>
      </c>
      <c r="Y172" s="302">
        <f t="shared" si="172"/>
        <v>0</v>
      </c>
      <c r="Z172" s="302">
        <f t="shared" si="172"/>
        <v>0</v>
      </c>
    </row>
    <row r="173" outlineLevel="1" spans="3:26">
      <c r="C173" s="51" t="s">
        <v>289</v>
      </c>
      <c r="D173" s="200" t="s">
        <v>48</v>
      </c>
      <c r="F173" s="264">
        <v>4.95</v>
      </c>
      <c r="G173" s="264">
        <v>7.695</v>
      </c>
      <c r="H173" s="264">
        <v>-15.789</v>
      </c>
      <c r="I173" s="264">
        <v>-12.2</v>
      </c>
      <c r="J173" s="264">
        <v>57.498</v>
      </c>
      <c r="K173" s="334">
        <f>AVERAGE(F173:J173)</f>
        <v>8.4308</v>
      </c>
      <c r="L173" s="334">
        <f t="shared" ref="L173:U173" si="173">+K173</f>
        <v>8.4308</v>
      </c>
      <c r="M173" s="334">
        <f t="shared" si="173"/>
        <v>8.4308</v>
      </c>
      <c r="N173" s="334">
        <f t="shared" si="173"/>
        <v>8.4308</v>
      </c>
      <c r="O173" s="334">
        <f t="shared" si="173"/>
        <v>8.4308</v>
      </c>
      <c r="P173" s="339">
        <f t="shared" si="173"/>
        <v>8.4308</v>
      </c>
      <c r="Q173" s="339">
        <f t="shared" si="173"/>
        <v>8.4308</v>
      </c>
      <c r="R173" s="339">
        <f t="shared" si="173"/>
        <v>8.4308</v>
      </c>
      <c r="S173" s="339">
        <f t="shared" si="173"/>
        <v>8.4308</v>
      </c>
      <c r="T173" s="339">
        <f t="shared" si="173"/>
        <v>8.4308</v>
      </c>
      <c r="U173" s="341">
        <f t="shared" si="173"/>
        <v>8.4308</v>
      </c>
      <c r="W173" s="302">
        <f t="shared" ref="W173:Z173" si="174">SUMIF($F$26:$U$26,W$26,$F173:$U173)</f>
        <v>-15.344</v>
      </c>
      <c r="X173" s="302">
        <f t="shared" si="174"/>
        <v>82.7904</v>
      </c>
      <c r="Y173" s="302">
        <f t="shared" si="174"/>
        <v>33.7232</v>
      </c>
      <c r="Z173" s="302">
        <f t="shared" si="174"/>
        <v>33.7232</v>
      </c>
    </row>
    <row r="174" outlineLevel="1" spans="3:26">
      <c r="C174" s="189" t="s">
        <v>291</v>
      </c>
      <c r="D174" s="181" t="s">
        <v>48</v>
      </c>
      <c r="E174" s="212"/>
      <c r="F174" s="276">
        <f t="shared" ref="F174:U174" si="175">SUM(F169:F173)</f>
        <v>-154.081</v>
      </c>
      <c r="G174" s="276">
        <f t="shared" si="175"/>
        <v>-144.905</v>
      </c>
      <c r="H174" s="276">
        <f t="shared" si="175"/>
        <v>-775.339</v>
      </c>
      <c r="I174" s="276">
        <f t="shared" si="175"/>
        <v>-229.234</v>
      </c>
      <c r="J174" s="276">
        <f t="shared" si="175"/>
        <v>-215.502</v>
      </c>
      <c r="K174" s="332">
        <f t="shared" si="175"/>
        <v>-194.249636319102</v>
      </c>
      <c r="L174" s="332">
        <f t="shared" si="175"/>
        <v>-192.34908442928</v>
      </c>
      <c r="M174" s="332">
        <f t="shared" si="175"/>
        <v>-198.382380448757</v>
      </c>
      <c r="N174" s="332">
        <f t="shared" si="175"/>
        <v>-219.001822609043</v>
      </c>
      <c r="O174" s="332">
        <f t="shared" si="175"/>
        <v>-206.740244375536</v>
      </c>
      <c r="P174" s="332">
        <f t="shared" si="175"/>
        <v>-214.662703367981</v>
      </c>
      <c r="Q174" s="332">
        <f t="shared" si="175"/>
        <v>-221.387490081138</v>
      </c>
      <c r="R174" s="332">
        <f t="shared" si="175"/>
        <v>-249.037964249478</v>
      </c>
      <c r="S174" s="332">
        <f t="shared" si="175"/>
        <v>-234.992188426033</v>
      </c>
      <c r="T174" s="332">
        <f t="shared" si="175"/>
        <v>-232.530681525956</v>
      </c>
      <c r="U174" s="332">
        <f t="shared" si="175"/>
        <v>-240.149058933154</v>
      </c>
      <c r="W174" s="325">
        <f t="shared" ref="W174:Z174" si="176">SUM(W169:W173)</f>
        <v>-1303.559</v>
      </c>
      <c r="X174" s="325">
        <f t="shared" si="176"/>
        <v>-800.483101197139</v>
      </c>
      <c r="Y174" s="325">
        <f t="shared" si="176"/>
        <v>-861.792260433698</v>
      </c>
      <c r="Z174" s="325">
        <f t="shared" si="176"/>
        <v>-956.709893134621</v>
      </c>
    </row>
    <row r="175" outlineLevel="1" spans="23:26">
      <c r="W175" s="322"/>
      <c r="X175" s="322"/>
      <c r="Y175" s="322"/>
      <c r="Z175" s="322"/>
    </row>
    <row r="176" outlineLevel="1" spans="3:26">
      <c r="C176" s="193" t="s">
        <v>296</v>
      </c>
      <c r="W176" s="322"/>
      <c r="X176" s="322"/>
      <c r="Y176" s="322"/>
      <c r="Z176" s="322"/>
    </row>
    <row r="177" outlineLevel="1" spans="3:26">
      <c r="C177" s="51" t="s">
        <v>297</v>
      </c>
      <c r="D177" s="181" t="s">
        <v>48</v>
      </c>
      <c r="F177" s="263">
        <v>254.594</v>
      </c>
      <c r="G177" s="263">
        <v>86.7</v>
      </c>
      <c r="H177" s="263">
        <v>-92.4360000000001</v>
      </c>
      <c r="I177" s="263">
        <v>-52.259</v>
      </c>
      <c r="J177" s="263">
        <v>307.124</v>
      </c>
      <c r="K177" s="336">
        <f t="shared" ref="K177:U177" si="177">+K223</f>
        <v>216.327900081619</v>
      </c>
      <c r="L177" s="336">
        <f t="shared" si="177"/>
        <v>82.7420491388415</v>
      </c>
      <c r="M177" s="336">
        <f t="shared" si="177"/>
        <v>0</v>
      </c>
      <c r="N177" s="336">
        <f t="shared" si="177"/>
        <v>168.498098163441</v>
      </c>
      <c r="O177" s="336">
        <f t="shared" si="177"/>
        <v>157.657818570677</v>
      </c>
      <c r="P177" s="336">
        <f t="shared" si="177"/>
        <v>92.4052501788612</v>
      </c>
      <c r="Q177" s="336">
        <f t="shared" si="177"/>
        <v>0</v>
      </c>
      <c r="R177" s="336">
        <f t="shared" si="177"/>
        <v>174.681500229335</v>
      </c>
      <c r="S177" s="336">
        <f t="shared" si="177"/>
        <v>180.468801863886</v>
      </c>
      <c r="T177" s="336">
        <f t="shared" si="177"/>
        <v>97.6220999188323</v>
      </c>
      <c r="U177" s="336">
        <f t="shared" si="177"/>
        <v>0</v>
      </c>
      <c r="W177" s="301">
        <f t="shared" ref="W177:Z177" si="178">SUMIF($F$26:$U$26,W$26,$F177:$U177)</f>
        <v>196.599</v>
      </c>
      <c r="X177" s="301">
        <f t="shared" si="178"/>
        <v>606.193949220461</v>
      </c>
      <c r="Y177" s="301">
        <f t="shared" si="178"/>
        <v>418.561166912979</v>
      </c>
      <c r="Z177" s="301">
        <f t="shared" si="178"/>
        <v>452.772402012053</v>
      </c>
    </row>
    <row r="178" outlineLevel="1" spans="3:26">
      <c r="C178" s="51" t="s">
        <v>298</v>
      </c>
      <c r="D178" s="181" t="s">
        <v>48</v>
      </c>
      <c r="F178" s="264">
        <v>0</v>
      </c>
      <c r="G178" s="264">
        <v>0</v>
      </c>
      <c r="H178" s="264">
        <v>-287.5</v>
      </c>
      <c r="I178" s="264">
        <v>0</v>
      </c>
      <c r="J178" s="264">
        <v>0</v>
      </c>
      <c r="K178" s="337">
        <v>0</v>
      </c>
      <c r="L178" s="334">
        <f t="shared" ref="L178:U178" si="179">+K178</f>
        <v>0</v>
      </c>
      <c r="M178" s="334">
        <f t="shared" si="179"/>
        <v>0</v>
      </c>
      <c r="N178" s="334">
        <f t="shared" si="179"/>
        <v>0</v>
      </c>
      <c r="O178" s="338">
        <f t="shared" si="179"/>
        <v>0</v>
      </c>
      <c r="P178" s="338">
        <f t="shared" si="179"/>
        <v>0</v>
      </c>
      <c r="Q178" s="338">
        <f t="shared" si="179"/>
        <v>0</v>
      </c>
      <c r="R178" s="338">
        <f t="shared" si="179"/>
        <v>0</v>
      </c>
      <c r="S178" s="338">
        <f t="shared" si="179"/>
        <v>0</v>
      </c>
      <c r="T178" s="338">
        <f t="shared" si="179"/>
        <v>0</v>
      </c>
      <c r="U178" s="338">
        <f t="shared" si="179"/>
        <v>0</v>
      </c>
      <c r="W178" s="302">
        <f t="shared" ref="W178:Z178" si="180">SUMIF($F$26:$U$26,W$26,$F178:$U178)</f>
        <v>-287.5</v>
      </c>
      <c r="X178" s="302">
        <f t="shared" si="180"/>
        <v>0</v>
      </c>
      <c r="Y178" s="302">
        <f t="shared" si="180"/>
        <v>0</v>
      </c>
      <c r="Z178" s="302">
        <f t="shared" si="180"/>
        <v>0</v>
      </c>
    </row>
    <row r="179" outlineLevel="1" spans="3:26">
      <c r="C179" s="51" t="s">
        <v>299</v>
      </c>
      <c r="D179" s="181" t="s">
        <v>48</v>
      </c>
      <c r="F179" s="264">
        <v>1.805</v>
      </c>
      <c r="G179" s="264">
        <v>0.108</v>
      </c>
      <c r="H179" s="264">
        <v>1088.907</v>
      </c>
      <c r="I179" s="264">
        <v>-0.6</v>
      </c>
      <c r="J179" s="264">
        <v>2.724</v>
      </c>
      <c r="K179" s="289">
        <f t="shared" ref="K179:U179" si="181">+K224</f>
        <v>24.0364333424021</v>
      </c>
      <c r="L179" s="289">
        <f t="shared" si="181"/>
        <v>9.19356101542683</v>
      </c>
      <c r="M179" s="289">
        <f t="shared" si="181"/>
        <v>0</v>
      </c>
      <c r="N179" s="289">
        <f t="shared" si="181"/>
        <v>18.722010907049</v>
      </c>
      <c r="O179" s="289">
        <f t="shared" si="181"/>
        <v>17.5175353967419</v>
      </c>
      <c r="P179" s="289">
        <f t="shared" si="181"/>
        <v>10.2672500198735</v>
      </c>
      <c r="Q179" s="289">
        <f t="shared" si="181"/>
        <v>0</v>
      </c>
      <c r="R179" s="289">
        <f t="shared" si="181"/>
        <v>19.4090555810372</v>
      </c>
      <c r="S179" s="289">
        <f t="shared" si="181"/>
        <v>20.0520890959873</v>
      </c>
      <c r="T179" s="289">
        <f t="shared" si="181"/>
        <v>10.8468999909814</v>
      </c>
      <c r="U179" s="289">
        <f t="shared" si="181"/>
        <v>0</v>
      </c>
      <c r="W179" s="302">
        <f t="shared" ref="W179:Z179" si="182">SUMIF($F$26:$U$26,W$26,$F179:$U179)</f>
        <v>1090.22</v>
      </c>
      <c r="X179" s="302">
        <f t="shared" si="182"/>
        <v>35.953994357829</v>
      </c>
      <c r="Y179" s="302">
        <f t="shared" si="182"/>
        <v>46.5067963236643</v>
      </c>
      <c r="Z179" s="302">
        <f t="shared" si="182"/>
        <v>50.3080446680059</v>
      </c>
    </row>
    <row r="180" outlineLevel="1" spans="3:26">
      <c r="C180" s="51" t="s">
        <v>300</v>
      </c>
      <c r="D180" s="181" t="s">
        <v>48</v>
      </c>
      <c r="F180" s="264">
        <v>-258.5</v>
      </c>
      <c r="G180" s="264">
        <v>-131.5</v>
      </c>
      <c r="H180" s="264">
        <v>-131.6</v>
      </c>
      <c r="I180" s="264">
        <v>0</v>
      </c>
      <c r="J180" s="264">
        <v>-295.1</v>
      </c>
      <c r="K180" s="274">
        <f t="shared" ref="K180:U180" si="183">-K217</f>
        <v>-144.101201880328</v>
      </c>
      <c r="L180" s="274">
        <f t="shared" si="183"/>
        <v>-157.634693452665</v>
      </c>
      <c r="M180" s="274">
        <f t="shared" si="183"/>
        <v>0</v>
      </c>
      <c r="N180" s="274">
        <f t="shared" si="183"/>
        <v>-326.791881850036</v>
      </c>
      <c r="O180" s="274">
        <f t="shared" si="183"/>
        <v>-160.463069273715</v>
      </c>
      <c r="P180" s="274">
        <f t="shared" si="183"/>
        <v>-174.016609784408</v>
      </c>
      <c r="Q180" s="274">
        <f t="shared" si="183"/>
        <v>0</v>
      </c>
      <c r="R180" s="274">
        <f t="shared" si="183"/>
        <v>-370.773158528004</v>
      </c>
      <c r="S180" s="274">
        <f t="shared" si="183"/>
        <v>-181.500690506017</v>
      </c>
      <c r="T180" s="274">
        <f t="shared" si="183"/>
        <v>-196.583159621379</v>
      </c>
      <c r="U180" s="274">
        <f t="shared" si="183"/>
        <v>0</v>
      </c>
      <c r="W180" s="302">
        <f t="shared" ref="W180:Z180" si="184">SUMIF($F$26:$U$26,W$26,$F180:$U180)</f>
        <v>-521.6</v>
      </c>
      <c r="X180" s="302">
        <f t="shared" si="184"/>
        <v>-596.835895332993</v>
      </c>
      <c r="Y180" s="302">
        <f t="shared" si="184"/>
        <v>-661.271560908159</v>
      </c>
      <c r="Z180" s="302">
        <f t="shared" si="184"/>
        <v>-748.8570086554</v>
      </c>
    </row>
    <row r="181" outlineLevel="1" spans="3:26">
      <c r="C181" s="51" t="s">
        <v>301</v>
      </c>
      <c r="D181" s="200" t="s">
        <v>48</v>
      </c>
      <c r="F181" s="264">
        <v>-26.3</v>
      </c>
      <c r="G181" s="264">
        <v>-3.1</v>
      </c>
      <c r="H181" s="264">
        <v>-14.293</v>
      </c>
      <c r="I181" s="264">
        <v>-28.2</v>
      </c>
      <c r="J181" s="264">
        <v>2.454</v>
      </c>
      <c r="K181" s="334">
        <f>AVERAGE(F181:J181)</f>
        <v>-13.8878</v>
      </c>
      <c r="L181" s="334">
        <f t="shared" ref="L181:U181" si="185">+K181</f>
        <v>-13.8878</v>
      </c>
      <c r="M181" s="334">
        <f t="shared" si="185"/>
        <v>-13.8878</v>
      </c>
      <c r="N181" s="334">
        <f t="shared" si="185"/>
        <v>-13.8878</v>
      </c>
      <c r="O181" s="334">
        <f t="shared" si="185"/>
        <v>-13.8878</v>
      </c>
      <c r="P181" s="339">
        <f t="shared" si="185"/>
        <v>-13.8878</v>
      </c>
      <c r="Q181" s="339">
        <f t="shared" si="185"/>
        <v>-13.8878</v>
      </c>
      <c r="R181" s="339">
        <f t="shared" si="185"/>
        <v>-13.8878</v>
      </c>
      <c r="S181" s="339">
        <f t="shared" si="185"/>
        <v>-13.8878</v>
      </c>
      <c r="T181" s="339">
        <f t="shared" si="185"/>
        <v>-13.8878</v>
      </c>
      <c r="U181" s="339">
        <f t="shared" si="185"/>
        <v>-13.8878</v>
      </c>
      <c r="W181" s="302">
        <f t="shared" ref="W181:Z181" si="186">SUMIF($F$26:$U$26,W$26,$F181:$U181)</f>
        <v>-71.893</v>
      </c>
      <c r="X181" s="302">
        <f t="shared" si="186"/>
        <v>-39.2094</v>
      </c>
      <c r="Y181" s="302">
        <f t="shared" si="186"/>
        <v>-55.5512</v>
      </c>
      <c r="Z181" s="302">
        <f t="shared" si="186"/>
        <v>-55.5512</v>
      </c>
    </row>
    <row r="182" outlineLevel="1" spans="3:26">
      <c r="C182" s="189" t="s">
        <v>296</v>
      </c>
      <c r="D182" s="181" t="s">
        <v>48</v>
      </c>
      <c r="E182" s="212"/>
      <c r="F182" s="276">
        <f t="shared" ref="F182:U182" si="187">SUM(F177:F181)</f>
        <v>-28.401</v>
      </c>
      <c r="G182" s="276">
        <f t="shared" si="187"/>
        <v>-47.792</v>
      </c>
      <c r="H182" s="276">
        <f t="shared" si="187"/>
        <v>563.078</v>
      </c>
      <c r="I182" s="276">
        <f t="shared" si="187"/>
        <v>-81.059</v>
      </c>
      <c r="J182" s="276">
        <f t="shared" si="187"/>
        <v>17.202</v>
      </c>
      <c r="K182" s="332">
        <f t="shared" si="187"/>
        <v>82.3753315436933</v>
      </c>
      <c r="L182" s="332">
        <f t="shared" si="187"/>
        <v>-79.5868832983967</v>
      </c>
      <c r="M182" s="332">
        <f t="shared" si="187"/>
        <v>-13.8878</v>
      </c>
      <c r="N182" s="332">
        <f t="shared" si="187"/>
        <v>-153.459572779545</v>
      </c>
      <c r="O182" s="332">
        <f t="shared" si="187"/>
        <v>0.824484693703763</v>
      </c>
      <c r="P182" s="332">
        <f t="shared" si="187"/>
        <v>-85.2319095856736</v>
      </c>
      <c r="Q182" s="332">
        <f t="shared" si="187"/>
        <v>-13.8878</v>
      </c>
      <c r="R182" s="332">
        <f t="shared" si="187"/>
        <v>-190.570402717631</v>
      </c>
      <c r="S182" s="332">
        <f t="shared" si="187"/>
        <v>5.13240045385572</v>
      </c>
      <c r="T182" s="332">
        <f t="shared" si="187"/>
        <v>-102.001959711565</v>
      </c>
      <c r="U182" s="332">
        <f t="shared" si="187"/>
        <v>-13.8878</v>
      </c>
      <c r="W182" s="325">
        <f t="shared" ref="W182:Z182" si="188">SUM(W177:W181)</f>
        <v>405.826</v>
      </c>
      <c r="X182" s="325">
        <f t="shared" si="188"/>
        <v>6.10264824529652</v>
      </c>
      <c r="Y182" s="325">
        <f t="shared" si="188"/>
        <v>-251.754797671515</v>
      </c>
      <c r="Z182" s="325">
        <f t="shared" si="188"/>
        <v>-301.327761975341</v>
      </c>
    </row>
    <row r="183" outlineLevel="1" spans="23:26">
      <c r="W183" s="322"/>
      <c r="X183" s="322"/>
      <c r="Y183" s="322"/>
      <c r="Z183" s="322"/>
    </row>
    <row r="184" outlineLevel="1" spans="3:26">
      <c r="C184" s="51" t="s">
        <v>302</v>
      </c>
      <c r="D184" s="181" t="s">
        <v>48</v>
      </c>
      <c r="F184" s="274">
        <f t="shared" ref="F184:U184" si="189">+F166+F174+F182</f>
        <v>-24.3290000000001</v>
      </c>
      <c r="G184" s="274">
        <f t="shared" si="189"/>
        <v>0.804999999999986</v>
      </c>
      <c r="H184" s="274">
        <f t="shared" si="189"/>
        <v>-3.40800000000047</v>
      </c>
      <c r="I184" s="274">
        <f t="shared" si="189"/>
        <v>-26.094</v>
      </c>
      <c r="J184" s="274">
        <f t="shared" si="189"/>
        <v>3.36099999999995</v>
      </c>
      <c r="K184" s="274">
        <f t="shared" si="189"/>
        <v>66.8541268342858</v>
      </c>
      <c r="L184" s="274">
        <f t="shared" si="189"/>
        <v>11.4389837198813</v>
      </c>
      <c r="M184" s="274">
        <f t="shared" si="189"/>
        <v>126.071721045515</v>
      </c>
      <c r="N184" s="274">
        <f t="shared" si="189"/>
        <v>-125.310842726484</v>
      </c>
      <c r="O184" s="274">
        <f t="shared" si="189"/>
        <v>-1.91561654527777</v>
      </c>
      <c r="P184" s="274">
        <f t="shared" si="189"/>
        <v>12.7804680396539</v>
      </c>
      <c r="Q184" s="274">
        <f t="shared" si="189"/>
        <v>142.952653796459</v>
      </c>
      <c r="R184" s="274">
        <f t="shared" si="189"/>
        <v>-138.96984583099</v>
      </c>
      <c r="S184" s="274">
        <f t="shared" si="189"/>
        <v>-2.63241640078153</v>
      </c>
      <c r="T184" s="274">
        <f t="shared" si="189"/>
        <v>13.77291590607</v>
      </c>
      <c r="U184" s="274">
        <f t="shared" si="189"/>
        <v>169.087927213993</v>
      </c>
      <c r="W184" s="289">
        <f t="shared" ref="W184:Z184" si="190">SUMIF($F$26:$U$26,W$26,$F184:$U184)</f>
        <v>-53.0260000000005</v>
      </c>
      <c r="X184" s="289">
        <f t="shared" si="190"/>
        <v>207.725831599682</v>
      </c>
      <c r="Y184" s="289">
        <f t="shared" si="190"/>
        <v>28.5066625643508</v>
      </c>
      <c r="Z184" s="289">
        <f t="shared" si="190"/>
        <v>41.2585808882913</v>
      </c>
    </row>
    <row r="185" outlineLevel="1" spans="3:26">
      <c r="C185" s="51" t="s">
        <v>303</v>
      </c>
      <c r="D185" s="181" t="s">
        <v>48</v>
      </c>
      <c r="F185" s="275">
        <v>75.062</v>
      </c>
      <c r="G185" s="274">
        <f t="shared" ref="G185:U185" si="191">+F186</f>
        <v>50.7329999999999</v>
      </c>
      <c r="H185" s="274">
        <f t="shared" si="191"/>
        <v>51.5379999999999</v>
      </c>
      <c r="I185" s="274">
        <f t="shared" si="191"/>
        <v>48.1299999999995</v>
      </c>
      <c r="J185" s="274">
        <f t="shared" si="191"/>
        <v>22.0359999999995</v>
      </c>
      <c r="K185" s="274">
        <f t="shared" si="191"/>
        <v>25.3969999999995</v>
      </c>
      <c r="L185" s="274">
        <f t="shared" si="191"/>
        <v>92.2511268342852</v>
      </c>
      <c r="M185" s="274">
        <f t="shared" si="191"/>
        <v>103.690110554167</v>
      </c>
      <c r="N185" s="274">
        <f t="shared" si="191"/>
        <v>229.761831599682</v>
      </c>
      <c r="O185" s="274">
        <f t="shared" si="191"/>
        <v>104.450988873198</v>
      </c>
      <c r="P185" s="274">
        <f t="shared" si="191"/>
        <v>102.53537232792</v>
      </c>
      <c r="Q185" s="274">
        <f t="shared" si="191"/>
        <v>115.315840367574</v>
      </c>
      <c r="R185" s="274">
        <f t="shared" si="191"/>
        <v>258.268494164033</v>
      </c>
      <c r="S185" s="274">
        <f t="shared" si="191"/>
        <v>119.298648333043</v>
      </c>
      <c r="T185" s="274">
        <f t="shared" si="191"/>
        <v>116.666231932261</v>
      </c>
      <c r="U185" s="274">
        <f t="shared" si="191"/>
        <v>130.439147838331</v>
      </c>
      <c r="W185" s="289">
        <f>+F185</f>
        <v>75.062</v>
      </c>
      <c r="X185" s="289">
        <f t="shared" ref="X185:Z185" si="192">+W186</f>
        <v>22.0359999999995</v>
      </c>
      <c r="Y185" s="289">
        <f t="shared" si="192"/>
        <v>229.761831599682</v>
      </c>
      <c r="Z185" s="289">
        <f t="shared" si="192"/>
        <v>258.268494164033</v>
      </c>
    </row>
    <row r="186" outlineLevel="1" spans="3:26">
      <c r="C186" s="189" t="s">
        <v>304</v>
      </c>
      <c r="D186" s="190" t="s">
        <v>48</v>
      </c>
      <c r="E186" s="212"/>
      <c r="F186" s="332">
        <f t="shared" ref="F186:U186" si="193">SUM(F184:F185)</f>
        <v>50.7329999999999</v>
      </c>
      <c r="G186" s="332">
        <f t="shared" si="193"/>
        <v>51.5379999999999</v>
      </c>
      <c r="H186" s="332">
        <f t="shared" si="193"/>
        <v>48.1299999999995</v>
      </c>
      <c r="I186" s="332">
        <f t="shared" si="193"/>
        <v>22.0359999999995</v>
      </c>
      <c r="J186" s="332">
        <f t="shared" si="193"/>
        <v>25.3969999999995</v>
      </c>
      <c r="K186" s="332">
        <f t="shared" si="193"/>
        <v>92.2511268342852</v>
      </c>
      <c r="L186" s="332">
        <f t="shared" si="193"/>
        <v>103.690110554167</v>
      </c>
      <c r="M186" s="332">
        <f t="shared" si="193"/>
        <v>229.761831599682</v>
      </c>
      <c r="N186" s="332">
        <f t="shared" si="193"/>
        <v>104.450988873198</v>
      </c>
      <c r="O186" s="332">
        <f t="shared" si="193"/>
        <v>102.53537232792</v>
      </c>
      <c r="P186" s="332">
        <f t="shared" si="193"/>
        <v>115.315840367574</v>
      </c>
      <c r="Q186" s="332">
        <f t="shared" si="193"/>
        <v>258.268494164033</v>
      </c>
      <c r="R186" s="332">
        <f t="shared" si="193"/>
        <v>119.298648333043</v>
      </c>
      <c r="S186" s="332">
        <f t="shared" si="193"/>
        <v>116.666231932261</v>
      </c>
      <c r="T186" s="332">
        <f t="shared" si="193"/>
        <v>130.439147838331</v>
      </c>
      <c r="U186" s="332">
        <f t="shared" si="193"/>
        <v>299.527075052324</v>
      </c>
      <c r="W186" s="342">
        <f t="shared" ref="W186:Z186" si="194">SUM(W184:W185)</f>
        <v>22.0359999999995</v>
      </c>
      <c r="X186" s="342">
        <f t="shared" si="194"/>
        <v>229.761831599682</v>
      </c>
      <c r="Y186" s="342">
        <f t="shared" si="194"/>
        <v>258.268494164033</v>
      </c>
      <c r="Z186" s="342">
        <f t="shared" si="194"/>
        <v>299.527075052324</v>
      </c>
    </row>
    <row r="188" spans="2:26">
      <c r="B188" s="254"/>
      <c r="C188" s="254"/>
      <c r="D188" s="255"/>
      <c r="E188" s="256"/>
      <c r="F188" s="257" t="str">
        <f>$F$28</f>
        <v>Historical:</v>
      </c>
      <c r="G188" s="257"/>
      <c r="H188" s="257"/>
      <c r="I188" s="257"/>
      <c r="J188" s="296"/>
      <c r="K188" s="297" t="str">
        <f>$K$28</f>
        <v>Projected:</v>
      </c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W188" s="257" t="str">
        <f>$W$28</f>
        <v>Historical:</v>
      </c>
      <c r="X188" s="297" t="str">
        <f>$X$28</f>
        <v>Projected:</v>
      </c>
      <c r="Y188" s="257"/>
      <c r="Z188" s="257"/>
    </row>
    <row r="189" spans="2:26">
      <c r="B189" s="173" t="s">
        <v>305</v>
      </c>
      <c r="C189" s="173"/>
      <c r="D189" s="174" t="str">
        <f>+$D$5</f>
        <v>Units:</v>
      </c>
      <c r="E189" s="175"/>
      <c r="F189" s="258">
        <f>$F$29</f>
        <v>42460</v>
      </c>
      <c r="G189" s="259">
        <f>$G$29</f>
        <v>42551</v>
      </c>
      <c r="H189" s="260">
        <f>$H$29</f>
        <v>42643</v>
      </c>
      <c r="I189" s="298">
        <f>$I$29</f>
        <v>42735</v>
      </c>
      <c r="J189" s="258">
        <f>$J$29</f>
        <v>42825</v>
      </c>
      <c r="K189" s="299">
        <f>$K$29</f>
        <v>42916</v>
      </c>
      <c r="L189" s="260">
        <f>$L$29</f>
        <v>43008</v>
      </c>
      <c r="M189" s="298">
        <f>$M$29</f>
        <v>43100</v>
      </c>
      <c r="N189" s="258">
        <f>$N$29</f>
        <v>43190</v>
      </c>
      <c r="O189" s="259">
        <f>$O$29</f>
        <v>43281</v>
      </c>
      <c r="P189" s="260">
        <f>$P$29</f>
        <v>43373</v>
      </c>
      <c r="Q189" s="298">
        <f>$Q$29</f>
        <v>43465</v>
      </c>
      <c r="R189" s="258">
        <f>$R$29</f>
        <v>43555</v>
      </c>
      <c r="S189" s="259">
        <f>$S$29</f>
        <v>43646</v>
      </c>
      <c r="T189" s="260">
        <f>$T$29</f>
        <v>43738</v>
      </c>
      <c r="U189" s="298">
        <f>$U$29</f>
        <v>43830</v>
      </c>
      <c r="W189" s="313">
        <f>$W$29</f>
        <v>42735</v>
      </c>
      <c r="X189" s="314">
        <f>$X$29</f>
        <v>43100</v>
      </c>
      <c r="Y189" s="176">
        <f>$Y$29</f>
        <v>43465</v>
      </c>
      <c r="Z189" s="176">
        <f>$Z$29</f>
        <v>43830</v>
      </c>
    </row>
    <row r="190" outlineLevel="1"/>
    <row r="191" outlineLevel="1" spans="3:26">
      <c r="C191" s="11" t="s">
        <v>496</v>
      </c>
      <c r="D191" s="736" t="s">
        <v>56</v>
      </c>
      <c r="F191" s="231">
        <f t="shared" ref="F191:J191" si="195">-F158/F157</f>
        <v>1.00907307503678</v>
      </c>
      <c r="G191" s="231">
        <f t="shared" si="195"/>
        <v>1.07768635043562</v>
      </c>
      <c r="H191" s="231">
        <f t="shared" si="195"/>
        <v>0.965799614643545</v>
      </c>
      <c r="I191" s="231">
        <f t="shared" si="195"/>
        <v>0.880851961197807</v>
      </c>
      <c r="J191" s="231">
        <f t="shared" si="195"/>
        <v>0.835462058602555</v>
      </c>
      <c r="K191" s="182">
        <v>0.85</v>
      </c>
      <c r="L191" s="182">
        <v>0.95</v>
      </c>
      <c r="M191" s="182">
        <v>0.9</v>
      </c>
      <c r="N191" s="182">
        <v>0.8</v>
      </c>
      <c r="O191" s="320">
        <f t="shared" ref="O191:U191" si="196">+K191</f>
        <v>0.85</v>
      </c>
      <c r="P191" s="320">
        <f t="shared" si="196"/>
        <v>0.95</v>
      </c>
      <c r="Q191" s="320">
        <f t="shared" si="196"/>
        <v>0.9</v>
      </c>
      <c r="R191" s="320">
        <f t="shared" si="196"/>
        <v>0.8</v>
      </c>
      <c r="S191" s="320">
        <f t="shared" si="196"/>
        <v>0.85</v>
      </c>
      <c r="T191" s="320">
        <f t="shared" si="196"/>
        <v>0.95</v>
      </c>
      <c r="U191" s="320">
        <f t="shared" si="196"/>
        <v>0.9</v>
      </c>
      <c r="W191" s="231">
        <f t="shared" ref="W191:Z191" si="197">-W158/W157</f>
        <v>0.979595416276894</v>
      </c>
      <c r="X191" s="231">
        <f t="shared" si="197"/>
        <v>0.882598873400614</v>
      </c>
      <c r="Y191" s="231">
        <f t="shared" si="197"/>
        <v>0.873286177947458</v>
      </c>
      <c r="Z191" s="231">
        <f t="shared" si="197"/>
        <v>0.873286177947458</v>
      </c>
    </row>
    <row r="192" outlineLevel="1" spans="3:26">
      <c r="C192" s="11" t="s">
        <v>497</v>
      </c>
      <c r="D192" s="736" t="s">
        <v>56</v>
      </c>
      <c r="F192" s="231">
        <f t="shared" ref="F192:J192" si="198">+F161/F39</f>
        <v>-0.00357200232447902</v>
      </c>
      <c r="G192" s="231">
        <f t="shared" si="198"/>
        <v>0.000736016654561555</v>
      </c>
      <c r="H192" s="231">
        <f t="shared" si="198"/>
        <v>0.000677292222305613</v>
      </c>
      <c r="I192" s="231">
        <f t="shared" si="198"/>
        <v>-0.000197646618249024</v>
      </c>
      <c r="J192" s="231">
        <f t="shared" si="198"/>
        <v>0.000234303057382453</v>
      </c>
      <c r="K192" s="320">
        <f t="shared" ref="K192:U192" si="199">+F192</f>
        <v>-0.00357200232447902</v>
      </c>
      <c r="L192" s="320">
        <f t="shared" si="199"/>
        <v>0.000736016654561555</v>
      </c>
      <c r="M192" s="320">
        <f t="shared" si="199"/>
        <v>0.000677292222305613</v>
      </c>
      <c r="N192" s="320">
        <f t="shared" si="199"/>
        <v>-0.000197646618249024</v>
      </c>
      <c r="O192" s="320">
        <f t="shared" si="199"/>
        <v>0.000234303057382453</v>
      </c>
      <c r="P192" s="320">
        <f t="shared" si="199"/>
        <v>-0.00357200232447902</v>
      </c>
      <c r="Q192" s="320">
        <f t="shared" si="199"/>
        <v>0.000736016654561555</v>
      </c>
      <c r="R192" s="320">
        <f t="shared" si="199"/>
        <v>0.000677292222305613</v>
      </c>
      <c r="S192" s="320">
        <f t="shared" si="199"/>
        <v>-0.000197646618249024</v>
      </c>
      <c r="T192" s="320">
        <f t="shared" si="199"/>
        <v>0.000234303057382453</v>
      </c>
      <c r="U192" s="320">
        <f t="shared" si="199"/>
        <v>-0.00357200232447902</v>
      </c>
      <c r="W192" s="231">
        <f t="shared" ref="W192:Z192" si="200">+W161/W39</f>
        <v>-0.000544296948996202</v>
      </c>
      <c r="X192" s="231">
        <f t="shared" si="200"/>
        <v>-0.000425770392087345</v>
      </c>
      <c r="Y192" s="231">
        <f t="shared" si="200"/>
        <v>-0.000718703738955292</v>
      </c>
      <c r="Z192" s="231">
        <f t="shared" si="200"/>
        <v>-0.00074455340952092</v>
      </c>
    </row>
    <row r="193" outlineLevel="1"/>
    <row r="194" outlineLevel="1" spans="3:26">
      <c r="C194" s="210" t="s">
        <v>498</v>
      </c>
      <c r="D194" s="736" t="s">
        <v>56</v>
      </c>
      <c r="F194" s="231">
        <f t="shared" ref="F194:J194" si="201">-F169/F$39</f>
        <v>0.0417771554485431</v>
      </c>
      <c r="G194" s="231">
        <f t="shared" si="201"/>
        <v>0.0347889244058462</v>
      </c>
      <c r="H194" s="231">
        <f t="shared" si="201"/>
        <v>0.0279190837151492</v>
      </c>
      <c r="I194" s="231">
        <f t="shared" si="201"/>
        <v>0.0368350881694629</v>
      </c>
      <c r="J194" s="231">
        <f t="shared" si="201"/>
        <v>0.0537407663707909</v>
      </c>
      <c r="K194" s="320">
        <f t="shared" ref="K194:U194" si="202">+G194</f>
        <v>0.0347889244058462</v>
      </c>
      <c r="L194" s="320">
        <f t="shared" si="202"/>
        <v>0.0279190837151492</v>
      </c>
      <c r="M194" s="320">
        <f t="shared" si="202"/>
        <v>0.0368350881694629</v>
      </c>
      <c r="N194" s="320">
        <f t="shared" si="202"/>
        <v>0.0537407663707909</v>
      </c>
      <c r="O194" s="320">
        <f t="shared" si="202"/>
        <v>0.0347889244058462</v>
      </c>
      <c r="P194" s="320">
        <f t="shared" si="202"/>
        <v>0.0279190837151492</v>
      </c>
      <c r="Q194" s="320">
        <f t="shared" si="202"/>
        <v>0.0368350881694629</v>
      </c>
      <c r="R194" s="320">
        <f t="shared" si="202"/>
        <v>0.0537407663707909</v>
      </c>
      <c r="S194" s="320">
        <f t="shared" si="202"/>
        <v>0.0347889244058462</v>
      </c>
      <c r="T194" s="320">
        <f t="shared" si="202"/>
        <v>0.0279190837151492</v>
      </c>
      <c r="U194" s="320">
        <f t="shared" si="202"/>
        <v>0.0368350881694629</v>
      </c>
      <c r="W194" s="231">
        <f t="shared" ref="W194:Z194" si="203">-W169/W$39</f>
        <v>0.035232724290255</v>
      </c>
      <c r="X194" s="231">
        <f t="shared" si="203"/>
        <v>0.0382335403082023</v>
      </c>
      <c r="Y194" s="231">
        <f t="shared" si="203"/>
        <v>0.038230726990318</v>
      </c>
      <c r="Z194" s="231">
        <f t="shared" si="203"/>
        <v>0.0382615547496714</v>
      </c>
    </row>
    <row r="195" outlineLevel="1" spans="3:26">
      <c r="C195" s="210" t="s">
        <v>499</v>
      </c>
      <c r="D195" s="736" t="s">
        <v>56</v>
      </c>
      <c r="F195" s="231">
        <f t="shared" ref="F195:J195" si="204">-F170/F$39</f>
        <v>0.00935939976080873</v>
      </c>
      <c r="G195" s="231">
        <f t="shared" si="204"/>
        <v>0.00802432933152598</v>
      </c>
      <c r="H195" s="231">
        <f t="shared" si="204"/>
        <v>0.00838560991995138</v>
      </c>
      <c r="I195" s="231">
        <f t="shared" si="204"/>
        <v>0.00949917387181056</v>
      </c>
      <c r="J195" s="231">
        <f t="shared" si="204"/>
        <v>0.0074958815334681</v>
      </c>
      <c r="K195" s="320">
        <f t="shared" ref="K195:U195" si="205">+G195</f>
        <v>0.00802432933152598</v>
      </c>
      <c r="L195" s="320">
        <f t="shared" si="205"/>
        <v>0.00838560991995138</v>
      </c>
      <c r="M195" s="320">
        <f t="shared" si="205"/>
        <v>0.00949917387181056</v>
      </c>
      <c r="N195" s="320">
        <f t="shared" si="205"/>
        <v>0.0074958815334681</v>
      </c>
      <c r="O195" s="320">
        <f t="shared" si="205"/>
        <v>0.00802432933152598</v>
      </c>
      <c r="P195" s="320">
        <f t="shared" si="205"/>
        <v>0.00838560991995138</v>
      </c>
      <c r="Q195" s="320">
        <f t="shared" si="205"/>
        <v>0.00949917387181056</v>
      </c>
      <c r="R195" s="320">
        <f t="shared" si="205"/>
        <v>0.0074958815334681</v>
      </c>
      <c r="S195" s="320">
        <f t="shared" si="205"/>
        <v>0.00802432933152598</v>
      </c>
      <c r="T195" s="320">
        <f t="shared" si="205"/>
        <v>0.00838560991995138</v>
      </c>
      <c r="U195" s="320">
        <f t="shared" si="205"/>
        <v>0.00949917387181056</v>
      </c>
      <c r="W195" s="231">
        <f t="shared" ref="W195:Z195" si="206">-W170/W$39</f>
        <v>0.00882778696609534</v>
      </c>
      <c r="X195" s="231">
        <f t="shared" si="206"/>
        <v>0.00836910101088437</v>
      </c>
      <c r="Y195" s="231">
        <f t="shared" si="206"/>
        <v>0.00836961591447258</v>
      </c>
      <c r="Z195" s="231">
        <f t="shared" si="206"/>
        <v>0.00836778607213052</v>
      </c>
    </row>
    <row r="196" outlineLevel="1"/>
    <row r="197" outlineLevel="1" spans="3:26">
      <c r="C197" s="11" t="s">
        <v>500</v>
      </c>
      <c r="D197" s="736" t="s">
        <v>56</v>
      </c>
      <c r="F197" s="231">
        <f t="shared" ref="F197:J197" si="207">+F202/F159</f>
        <v>0.987551474416623</v>
      </c>
      <c r="G197" s="231">
        <f t="shared" si="207"/>
        <v>0.951302436301924</v>
      </c>
      <c r="H197" s="231">
        <f t="shared" si="207"/>
        <v>0.984275793929255</v>
      </c>
      <c r="I197" s="231">
        <f t="shared" si="207"/>
        <v>0.982682168523227</v>
      </c>
      <c r="J197" s="231">
        <f t="shared" si="207"/>
        <v>0.982891888522435</v>
      </c>
      <c r="K197" s="182">
        <v>0.981</v>
      </c>
      <c r="L197" s="320">
        <f t="shared" ref="L197:U197" si="208">+H197</f>
        <v>0.984275793929255</v>
      </c>
      <c r="M197" s="320">
        <f t="shared" si="208"/>
        <v>0.982682168523227</v>
      </c>
      <c r="N197" s="320">
        <f t="shared" si="208"/>
        <v>0.982891888522435</v>
      </c>
      <c r="O197" s="320">
        <f t="shared" si="208"/>
        <v>0.981</v>
      </c>
      <c r="P197" s="320">
        <f t="shared" si="208"/>
        <v>0.984275793929255</v>
      </c>
      <c r="Q197" s="320">
        <f t="shared" si="208"/>
        <v>0.982682168523227</v>
      </c>
      <c r="R197" s="320">
        <f t="shared" si="208"/>
        <v>0.982891888522435</v>
      </c>
      <c r="S197" s="320">
        <f t="shared" si="208"/>
        <v>0.981</v>
      </c>
      <c r="T197" s="320">
        <f t="shared" si="208"/>
        <v>0.984275793929255</v>
      </c>
      <c r="U197" s="320">
        <f t="shared" si="208"/>
        <v>0.982682168523227</v>
      </c>
      <c r="W197" s="231">
        <f t="shared" ref="W197:Z197" si="209">+W202/W159</f>
        <v>0.976385766826249</v>
      </c>
      <c r="X197" s="231">
        <f t="shared" si="209"/>
        <v>0.982730499075838</v>
      </c>
      <c r="Y197" s="231">
        <f t="shared" si="209"/>
        <v>0.982731589676452</v>
      </c>
      <c r="Z197" s="231">
        <f t="shared" si="209"/>
        <v>0.982730030255236</v>
      </c>
    </row>
    <row r="198" outlineLevel="1" spans="3:26">
      <c r="C198" s="11" t="s">
        <v>501</v>
      </c>
      <c r="D198" s="736" t="s">
        <v>56</v>
      </c>
      <c r="F198" s="231">
        <f t="shared" ref="F198:J198" si="210">+F204/F51</f>
        <v>0.687346738597352</v>
      </c>
      <c r="G198" s="231">
        <f t="shared" si="210"/>
        <v>0.680058083252662</v>
      </c>
      <c r="H198" s="231">
        <f t="shared" si="210"/>
        <v>0.676782273603083</v>
      </c>
      <c r="I198" s="231">
        <f t="shared" si="210"/>
        <v>0.595318431041755</v>
      </c>
      <c r="J198" s="231">
        <f t="shared" si="210"/>
        <v>0.517843726521413</v>
      </c>
      <c r="K198" s="182">
        <v>0.52</v>
      </c>
      <c r="L198" s="182">
        <v>0.51</v>
      </c>
      <c r="M198" s="182">
        <v>0.5</v>
      </c>
      <c r="N198" s="182">
        <v>0.5</v>
      </c>
      <c r="O198" s="320">
        <f t="shared" ref="O198:U198" si="211">+K198</f>
        <v>0.52</v>
      </c>
      <c r="P198" s="320">
        <f t="shared" si="211"/>
        <v>0.51</v>
      </c>
      <c r="Q198" s="320">
        <f t="shared" si="211"/>
        <v>0.5</v>
      </c>
      <c r="R198" s="320">
        <f t="shared" si="211"/>
        <v>0.5</v>
      </c>
      <c r="S198" s="320">
        <f t="shared" si="211"/>
        <v>0.52</v>
      </c>
      <c r="T198" s="320">
        <f t="shared" si="211"/>
        <v>0.51</v>
      </c>
      <c r="U198" s="320">
        <f t="shared" si="211"/>
        <v>0.5</v>
      </c>
      <c r="W198" s="231">
        <f t="shared" ref="W198:Z198" si="212">+W204/W51</f>
        <v>0.657507015902713</v>
      </c>
      <c r="X198" s="231">
        <f t="shared" si="212"/>
        <v>0.511932680260834</v>
      </c>
      <c r="Y198" s="231">
        <f t="shared" si="212"/>
        <v>0.507246737103791</v>
      </c>
      <c r="Z198" s="231">
        <f t="shared" si="212"/>
        <v>0.507246737103791</v>
      </c>
    </row>
    <row r="199" outlineLevel="1"/>
    <row r="200" outlineLevel="1" spans="3:26">
      <c r="C200" s="51" t="s">
        <v>275</v>
      </c>
      <c r="D200" s="181" t="s">
        <v>48</v>
      </c>
      <c r="F200" s="324">
        <f t="shared" ref="F200:U200" si="213">+F155</f>
        <v>39.125</v>
      </c>
      <c r="G200" s="324">
        <f t="shared" si="213"/>
        <v>27.951</v>
      </c>
      <c r="H200" s="324">
        <f t="shared" si="213"/>
        <v>187.33</v>
      </c>
      <c r="I200" s="324">
        <f t="shared" si="213"/>
        <v>77.6820000000001</v>
      </c>
      <c r="J200" s="324">
        <f t="shared" si="213"/>
        <v>66.145</v>
      </c>
      <c r="K200" s="324">
        <f t="shared" si="213"/>
        <v>43.6330873647536</v>
      </c>
      <c r="L200" s="324">
        <f t="shared" si="213"/>
        <v>46.9938511320317</v>
      </c>
      <c r="M200" s="324">
        <f t="shared" si="213"/>
        <v>56.2416730535122</v>
      </c>
      <c r="N200" s="324">
        <f t="shared" si="213"/>
        <v>70.8680116888612</v>
      </c>
      <c r="O200" s="324">
        <f t="shared" si="213"/>
        <v>46.838378850264</v>
      </c>
      <c r="P200" s="324">
        <f t="shared" si="213"/>
        <v>53.0259250090605</v>
      </c>
      <c r="Q200" s="324">
        <f t="shared" si="213"/>
        <v>66.6772463064683</v>
      </c>
      <c r="R200" s="324">
        <f t="shared" si="213"/>
        <v>77.2957791450477</v>
      </c>
      <c r="S200" s="324">
        <f t="shared" si="213"/>
        <v>53.601177014773</v>
      </c>
      <c r="T200" s="324">
        <f t="shared" si="213"/>
        <v>58.1237396474209</v>
      </c>
      <c r="U200" s="324">
        <f t="shared" si="213"/>
        <v>75.8260727739185</v>
      </c>
      <c r="W200" s="336">
        <f t="shared" ref="W200:Z200" si="214">SUMIF($F$26:$U$26,W$26,$F200:$U200)</f>
        <v>332.088</v>
      </c>
      <c r="X200" s="336">
        <f t="shared" si="214"/>
        <v>213.013611550297</v>
      </c>
      <c r="Y200" s="336">
        <f t="shared" si="214"/>
        <v>237.409561854654</v>
      </c>
      <c r="Z200" s="336">
        <f t="shared" si="214"/>
        <v>264.84676858116</v>
      </c>
    </row>
    <row r="201" outlineLevel="1" spans="3:26">
      <c r="C201" s="51" t="s">
        <v>268</v>
      </c>
      <c r="D201" s="181" t="s">
        <v>48</v>
      </c>
      <c r="F201" s="275">
        <v>0.663</v>
      </c>
      <c r="G201" s="275">
        <v>0.457</v>
      </c>
      <c r="H201" s="275">
        <v>3.024</v>
      </c>
      <c r="I201" s="275">
        <v>1.154</v>
      </c>
      <c r="J201" s="275">
        <v>0.904</v>
      </c>
      <c r="K201" s="274">
        <f t="shared" ref="K201:U201" si="215">+K156</f>
        <v>0.9408</v>
      </c>
      <c r="L201" s="274">
        <f t="shared" si="215"/>
        <v>0.65435</v>
      </c>
      <c r="M201" s="274">
        <f t="shared" si="215"/>
        <v>3.5717</v>
      </c>
      <c r="N201" s="274">
        <f t="shared" si="215"/>
        <v>1.11825</v>
      </c>
      <c r="O201" s="274">
        <f t="shared" si="215"/>
        <v>1.07625</v>
      </c>
      <c r="P201" s="274">
        <f t="shared" si="215"/>
        <v>0.98784</v>
      </c>
      <c r="Q201" s="274">
        <f t="shared" si="215"/>
        <v>0.6870675</v>
      </c>
      <c r="R201" s="274">
        <f t="shared" si="215"/>
        <v>3.750285</v>
      </c>
      <c r="S201" s="274">
        <f t="shared" si="215"/>
        <v>1.1741625</v>
      </c>
      <c r="T201" s="274">
        <f t="shared" si="215"/>
        <v>1.1300625</v>
      </c>
      <c r="U201" s="274">
        <f t="shared" si="215"/>
        <v>1.037232</v>
      </c>
      <c r="W201" s="289">
        <f t="shared" ref="W201:Z201" si="216">SUMIF($F$26:$U$26,W$26,$F201:$U201)</f>
        <v>5.298</v>
      </c>
      <c r="X201" s="289">
        <f t="shared" si="216"/>
        <v>6.07085</v>
      </c>
      <c r="Y201" s="289">
        <f t="shared" si="216"/>
        <v>3.8694075</v>
      </c>
      <c r="Z201" s="289">
        <f t="shared" si="216"/>
        <v>7.091742</v>
      </c>
    </row>
    <row r="202" outlineLevel="1" spans="3:26">
      <c r="C202" s="51" t="s">
        <v>306</v>
      </c>
      <c r="D202" s="181" t="s">
        <v>48</v>
      </c>
      <c r="F202" s="275">
        <v>166.912</v>
      </c>
      <c r="G202" s="275">
        <v>167.043</v>
      </c>
      <c r="H202" s="275">
        <v>175.332</v>
      </c>
      <c r="I202" s="275">
        <v>173.523</v>
      </c>
      <c r="J202" s="275">
        <v>173.447</v>
      </c>
      <c r="K202" s="274">
        <f t="shared" ref="K202:U202" si="217">+K197*K159</f>
        <v>176.693712098545</v>
      </c>
      <c r="L202" s="274">
        <f t="shared" si="217"/>
        <v>185.913572456711</v>
      </c>
      <c r="M202" s="274">
        <f t="shared" si="217"/>
        <v>176.287228408313</v>
      </c>
      <c r="N202" s="274">
        <f t="shared" si="217"/>
        <v>195.266597307444</v>
      </c>
      <c r="O202" s="274">
        <f t="shared" si="217"/>
        <v>196.096988855763</v>
      </c>
      <c r="P202" s="274">
        <f t="shared" si="217"/>
        <v>206.613069783625</v>
      </c>
      <c r="Q202" s="274">
        <f t="shared" si="217"/>
        <v>196.044767025112</v>
      </c>
      <c r="R202" s="274">
        <f t="shared" si="217"/>
        <v>221.537538885783</v>
      </c>
      <c r="S202" s="274">
        <f t="shared" si="217"/>
        <v>221.43151318919</v>
      </c>
      <c r="T202" s="274">
        <f t="shared" si="217"/>
        <v>232.272310906522</v>
      </c>
      <c r="U202" s="274">
        <f t="shared" si="217"/>
        <v>220.775758883995</v>
      </c>
      <c r="W202" s="289">
        <f t="shared" ref="W202:Z202" si="218">SUMIF($F$26:$U$26,W$26,$F202:$U202)</f>
        <v>682.81</v>
      </c>
      <c r="X202" s="289">
        <f t="shared" si="218"/>
        <v>712.341512963568</v>
      </c>
      <c r="Y202" s="289">
        <f t="shared" si="218"/>
        <v>794.021422971944</v>
      </c>
      <c r="Z202" s="289">
        <f t="shared" si="218"/>
        <v>896.01712186549</v>
      </c>
    </row>
    <row r="203" outlineLevel="1" spans="3:26">
      <c r="C203" s="51" t="s">
        <v>307</v>
      </c>
      <c r="D203" s="181" t="s">
        <v>48</v>
      </c>
      <c r="F203" s="275">
        <v>0</v>
      </c>
      <c r="G203" s="275">
        <v>6.122</v>
      </c>
      <c r="H203" s="275">
        <v>0</v>
      </c>
      <c r="I203" s="275">
        <v>0</v>
      </c>
      <c r="J203" s="275">
        <v>0</v>
      </c>
      <c r="K203" s="337">
        <v>0</v>
      </c>
      <c r="L203" s="334">
        <f t="shared" ref="L203:U203" si="219">+K203</f>
        <v>0</v>
      </c>
      <c r="M203" s="334">
        <f t="shared" si="219"/>
        <v>0</v>
      </c>
      <c r="N203" s="334">
        <f t="shared" si="219"/>
        <v>0</v>
      </c>
      <c r="O203" s="338">
        <f t="shared" si="219"/>
        <v>0</v>
      </c>
      <c r="P203" s="338">
        <f t="shared" si="219"/>
        <v>0</v>
      </c>
      <c r="Q203" s="338">
        <f t="shared" si="219"/>
        <v>0</v>
      </c>
      <c r="R203" s="338">
        <f t="shared" si="219"/>
        <v>0</v>
      </c>
      <c r="S203" s="338">
        <f t="shared" si="219"/>
        <v>0</v>
      </c>
      <c r="T203" s="338">
        <f t="shared" si="219"/>
        <v>0</v>
      </c>
      <c r="U203" s="338">
        <f t="shared" si="219"/>
        <v>0</v>
      </c>
      <c r="W203" s="289">
        <f t="shared" ref="W203:Z203" si="220">SUMIF($F$26:$U$26,W$26,$F203:$U203)</f>
        <v>6.122</v>
      </c>
      <c r="X203" s="289">
        <f t="shared" si="220"/>
        <v>0</v>
      </c>
      <c r="Y203" s="289">
        <f t="shared" si="220"/>
        <v>0</v>
      </c>
      <c r="Z203" s="289">
        <f t="shared" si="220"/>
        <v>0</v>
      </c>
    </row>
    <row r="204" outlineLevel="1" spans="3:26">
      <c r="C204" s="51" t="s">
        <v>308</v>
      </c>
      <c r="D204" s="181" t="s">
        <v>48</v>
      </c>
      <c r="F204" s="275">
        <v>2.803</v>
      </c>
      <c r="G204" s="275">
        <v>2.81</v>
      </c>
      <c r="H204" s="275">
        <v>2.81</v>
      </c>
      <c r="I204" s="275">
        <v>2.823</v>
      </c>
      <c r="J204" s="275">
        <v>2.757</v>
      </c>
      <c r="K204" s="289">
        <f t="shared" ref="K204:U204" si="221">+K198*K51</f>
        <v>2.578368</v>
      </c>
      <c r="L204" s="289">
        <f t="shared" si="221"/>
        <v>2.435148</v>
      </c>
      <c r="M204" s="289">
        <f t="shared" si="221"/>
        <v>2.6081</v>
      </c>
      <c r="N204" s="289">
        <f t="shared" si="221"/>
        <v>2.7951</v>
      </c>
      <c r="O204" s="289">
        <f t="shared" si="221"/>
        <v>2.7072864</v>
      </c>
      <c r="P204" s="289">
        <f t="shared" si="221"/>
        <v>2.5569054</v>
      </c>
      <c r="Q204" s="289">
        <f t="shared" si="221"/>
        <v>2.738505</v>
      </c>
      <c r="R204" s="289">
        <f t="shared" si="221"/>
        <v>2.934855</v>
      </c>
      <c r="S204" s="289">
        <f t="shared" si="221"/>
        <v>2.84265072</v>
      </c>
      <c r="T204" s="289">
        <f t="shared" si="221"/>
        <v>2.68475067</v>
      </c>
      <c r="U204" s="289">
        <f t="shared" si="221"/>
        <v>2.87543025</v>
      </c>
      <c r="W204" s="289">
        <f t="shared" ref="W204:Z204" si="222">SUMIF($F$26:$U$26,W$26,$F204:$U204)</f>
        <v>11.246</v>
      </c>
      <c r="X204" s="289">
        <f t="shared" si="222"/>
        <v>10.378616</v>
      </c>
      <c r="Y204" s="289">
        <f t="shared" si="222"/>
        <v>10.7977968</v>
      </c>
      <c r="Z204" s="289">
        <f t="shared" si="222"/>
        <v>11.33768664</v>
      </c>
    </row>
    <row r="205" outlineLevel="1" spans="3:26">
      <c r="C205" s="51" t="s">
        <v>281</v>
      </c>
      <c r="D205" s="181" t="s">
        <v>48</v>
      </c>
      <c r="F205" s="289">
        <f t="shared" ref="F205:U205" si="223">+F160</f>
        <v>-1.097</v>
      </c>
      <c r="G205" s="289">
        <f t="shared" si="223"/>
        <v>0</v>
      </c>
      <c r="H205" s="289">
        <f t="shared" si="223"/>
        <v>-169</v>
      </c>
      <c r="I205" s="289">
        <f t="shared" si="223"/>
        <v>0.195</v>
      </c>
      <c r="J205" s="289">
        <f t="shared" si="223"/>
        <v>0.522</v>
      </c>
      <c r="K205" s="289">
        <f t="shared" si="223"/>
        <v>0</v>
      </c>
      <c r="L205" s="289">
        <f t="shared" si="223"/>
        <v>0</v>
      </c>
      <c r="M205" s="289">
        <f t="shared" si="223"/>
        <v>0</v>
      </c>
      <c r="N205" s="289">
        <f t="shared" si="223"/>
        <v>0</v>
      </c>
      <c r="O205" s="289">
        <f t="shared" si="223"/>
        <v>0</v>
      </c>
      <c r="P205" s="289">
        <f t="shared" si="223"/>
        <v>0</v>
      </c>
      <c r="Q205" s="289">
        <f t="shared" si="223"/>
        <v>0</v>
      </c>
      <c r="R205" s="289">
        <f t="shared" si="223"/>
        <v>0</v>
      </c>
      <c r="S205" s="289">
        <f t="shared" si="223"/>
        <v>0</v>
      </c>
      <c r="T205" s="289">
        <f t="shared" si="223"/>
        <v>0</v>
      </c>
      <c r="U205" s="289">
        <f t="shared" si="223"/>
        <v>0</v>
      </c>
      <c r="W205" s="311">
        <f t="shared" ref="W205:Z205" si="224">SUMIF($F$26:$U$26,W$26,$F205:$U205)</f>
        <v>-169.902</v>
      </c>
      <c r="X205" s="311">
        <f t="shared" si="224"/>
        <v>0.522</v>
      </c>
      <c r="Y205" s="311">
        <f t="shared" si="224"/>
        <v>0</v>
      </c>
      <c r="Z205" s="311">
        <f t="shared" si="224"/>
        <v>0</v>
      </c>
    </row>
    <row r="206" outlineLevel="1" spans="3:26">
      <c r="C206" s="189" t="s">
        <v>50</v>
      </c>
      <c r="D206" s="190" t="s">
        <v>48</v>
      </c>
      <c r="E206" s="212"/>
      <c r="F206" s="272">
        <f t="shared" ref="F206:U206" si="225">SUM(F200:F205)</f>
        <v>208.406</v>
      </c>
      <c r="G206" s="272">
        <f t="shared" si="225"/>
        <v>204.383</v>
      </c>
      <c r="H206" s="272">
        <f t="shared" si="225"/>
        <v>199.496</v>
      </c>
      <c r="I206" s="272">
        <f t="shared" si="225"/>
        <v>255.377</v>
      </c>
      <c r="J206" s="272">
        <f t="shared" si="225"/>
        <v>243.775</v>
      </c>
      <c r="K206" s="272">
        <f t="shared" si="225"/>
        <v>223.845967463298</v>
      </c>
      <c r="L206" s="272">
        <f t="shared" si="225"/>
        <v>235.996921588742</v>
      </c>
      <c r="M206" s="272">
        <f t="shared" si="225"/>
        <v>238.708701461825</v>
      </c>
      <c r="N206" s="272">
        <f t="shared" si="225"/>
        <v>270.047958996305</v>
      </c>
      <c r="O206" s="272">
        <f t="shared" si="225"/>
        <v>246.718904106027</v>
      </c>
      <c r="P206" s="272">
        <f t="shared" si="225"/>
        <v>263.183740192685</v>
      </c>
      <c r="Q206" s="272">
        <f t="shared" si="225"/>
        <v>266.14758583158</v>
      </c>
      <c r="R206" s="272">
        <f t="shared" si="225"/>
        <v>305.51845803083</v>
      </c>
      <c r="S206" s="272">
        <f t="shared" si="225"/>
        <v>279.049503423963</v>
      </c>
      <c r="T206" s="272">
        <f t="shared" si="225"/>
        <v>294.210863723943</v>
      </c>
      <c r="U206" s="272">
        <f t="shared" si="225"/>
        <v>300.514493907914</v>
      </c>
      <c r="W206" s="224">
        <f t="shared" ref="W206:Z206" si="226">SUM(W200:W205)</f>
        <v>867.662</v>
      </c>
      <c r="X206" s="224">
        <f t="shared" si="226"/>
        <v>942.326590513866</v>
      </c>
      <c r="Y206" s="224">
        <f t="shared" si="226"/>
        <v>1046.0981891266</v>
      </c>
      <c r="Z206" s="224">
        <f t="shared" si="226"/>
        <v>1179.29331908665</v>
      </c>
    </row>
    <row r="207" outlineLevel="1"/>
    <row r="208" outlineLevel="1" spans="3:26">
      <c r="C208" s="11" t="s">
        <v>50</v>
      </c>
      <c r="D208" s="181" t="s">
        <v>48</v>
      </c>
      <c r="F208" s="309">
        <f t="shared" ref="F208:U208" si="227">+F206</f>
        <v>208.406</v>
      </c>
      <c r="G208" s="309">
        <f t="shared" si="227"/>
        <v>204.383</v>
      </c>
      <c r="H208" s="309">
        <f t="shared" si="227"/>
        <v>199.496</v>
      </c>
      <c r="I208" s="309">
        <f t="shared" si="227"/>
        <v>255.377</v>
      </c>
      <c r="J208" s="309">
        <f t="shared" si="227"/>
        <v>243.775</v>
      </c>
      <c r="K208" s="309">
        <f t="shared" si="227"/>
        <v>223.845967463298</v>
      </c>
      <c r="L208" s="309">
        <f t="shared" si="227"/>
        <v>235.996921588742</v>
      </c>
      <c r="M208" s="309">
        <f t="shared" si="227"/>
        <v>238.708701461825</v>
      </c>
      <c r="N208" s="309">
        <f t="shared" si="227"/>
        <v>270.047958996305</v>
      </c>
      <c r="O208" s="309">
        <f t="shared" si="227"/>
        <v>246.718904106027</v>
      </c>
      <c r="P208" s="309">
        <f t="shared" si="227"/>
        <v>263.183740192685</v>
      </c>
      <c r="Q208" s="309">
        <f t="shared" si="227"/>
        <v>266.14758583158</v>
      </c>
      <c r="R208" s="309">
        <f t="shared" si="227"/>
        <v>305.51845803083</v>
      </c>
      <c r="S208" s="309">
        <f t="shared" si="227"/>
        <v>279.049503423963</v>
      </c>
      <c r="T208" s="309">
        <f t="shared" si="227"/>
        <v>294.210863723943</v>
      </c>
      <c r="U208" s="309">
        <f t="shared" si="227"/>
        <v>300.514493907914</v>
      </c>
      <c r="W208" s="309">
        <f t="shared" ref="W208:Z208" si="228">SUMIF($F$26:$U$26,W$26,$F208:$U208)</f>
        <v>867.662</v>
      </c>
      <c r="X208" s="309">
        <f t="shared" si="228"/>
        <v>942.326590513866</v>
      </c>
      <c r="Y208" s="309">
        <f t="shared" si="228"/>
        <v>1046.0981891266</v>
      </c>
      <c r="Z208" s="309">
        <f t="shared" si="228"/>
        <v>1179.29331908665</v>
      </c>
    </row>
    <row r="209" outlineLevel="1" spans="3:26">
      <c r="C209" s="51" t="s">
        <v>309</v>
      </c>
      <c r="D209" s="181" t="s">
        <v>48</v>
      </c>
      <c r="F209" s="275">
        <v>2.104</v>
      </c>
      <c r="G209" s="275">
        <v>2.429</v>
      </c>
      <c r="H209" s="275">
        <v>2.801</v>
      </c>
      <c r="I209" s="275">
        <v>3.058</v>
      </c>
      <c r="J209" s="275">
        <v>3.019</v>
      </c>
      <c r="K209" s="309">
        <f t="shared" ref="K209:U209" si="229">+K159-K202</f>
        <v>3.42220237499731</v>
      </c>
      <c r="L209" s="309">
        <f t="shared" si="229"/>
        <v>2.97004492306738</v>
      </c>
      <c r="M209" s="309">
        <f t="shared" si="229"/>
        <v>3.10671406368388</v>
      </c>
      <c r="N209" s="309">
        <f t="shared" si="229"/>
        <v>3.39878958570154</v>
      </c>
      <c r="O209" s="309">
        <f t="shared" si="229"/>
        <v>3.79800488099846</v>
      </c>
      <c r="P209" s="309">
        <f t="shared" si="229"/>
        <v>3.30072781046206</v>
      </c>
      <c r="Q209" s="309">
        <f t="shared" si="229"/>
        <v>3.45490164164283</v>
      </c>
      <c r="R209" s="309">
        <f t="shared" si="229"/>
        <v>3.85605879546014</v>
      </c>
      <c r="S209" s="309">
        <f t="shared" si="229"/>
        <v>4.28868374168667</v>
      </c>
      <c r="T209" s="309">
        <f t="shared" si="229"/>
        <v>3.71064462191256</v>
      </c>
      <c r="U209" s="309">
        <f t="shared" si="229"/>
        <v>3.89073650563475</v>
      </c>
      <c r="W209" s="309">
        <f t="shared" ref="W209:Z209" si="230">SUMIF($F$26:$U$26,W$26,$F209:$U209)</f>
        <v>10.392</v>
      </c>
      <c r="X209" s="309">
        <f t="shared" si="230"/>
        <v>12.5179613617486</v>
      </c>
      <c r="Y209" s="309">
        <f t="shared" si="230"/>
        <v>13.9524239188049</v>
      </c>
      <c r="Z209" s="309">
        <f t="shared" si="230"/>
        <v>15.7461236646941</v>
      </c>
    </row>
    <row r="210" outlineLevel="1" spans="3:26">
      <c r="C210" s="51" t="s">
        <v>282</v>
      </c>
      <c r="D210" s="181" t="s">
        <v>48</v>
      </c>
      <c r="F210" s="309">
        <f t="shared" ref="F210:U210" si="231">+F161</f>
        <v>-1.801</v>
      </c>
      <c r="G210" s="309">
        <f t="shared" si="231"/>
        <v>0.379</v>
      </c>
      <c r="H210" s="309">
        <f t="shared" si="231"/>
        <v>0.37</v>
      </c>
      <c r="I210" s="309">
        <f t="shared" si="231"/>
        <v>-0.114</v>
      </c>
      <c r="J210" s="309">
        <f t="shared" si="231"/>
        <v>0.129</v>
      </c>
      <c r="K210" s="309">
        <f t="shared" si="231"/>
        <v>-1.89227783875046</v>
      </c>
      <c r="L210" s="309">
        <f t="shared" si="231"/>
        <v>0.421277236864695</v>
      </c>
      <c r="M210" s="309">
        <f t="shared" si="231"/>
        <v>0.391942328919432</v>
      </c>
      <c r="N210" s="309">
        <f t="shared" si="231"/>
        <v>-0.120817051946352</v>
      </c>
      <c r="O210" s="309">
        <f t="shared" si="231"/>
        <v>0.137752965258734</v>
      </c>
      <c r="P210" s="309">
        <f t="shared" si="231"/>
        <v>-2.27215931195848</v>
      </c>
      <c r="Q210" s="309">
        <f t="shared" si="231"/>
        <v>0.473661544252398</v>
      </c>
      <c r="R210" s="309">
        <f t="shared" si="231"/>
        <v>0.469714863590726</v>
      </c>
      <c r="S210" s="309">
        <f t="shared" si="231"/>
        <v>-0.131214216452622</v>
      </c>
      <c r="T210" s="309">
        <f t="shared" si="231"/>
        <v>0.167550084758969</v>
      </c>
      <c r="U210" s="309">
        <f t="shared" si="231"/>
        <v>-2.58873949601392</v>
      </c>
      <c r="W210" s="309">
        <f t="shared" ref="W210:Z210" si="232">SUMIF($F$26:$U$26,W$26,$F210:$U210)</f>
        <v>-1.166</v>
      </c>
      <c r="X210" s="309">
        <f t="shared" si="232"/>
        <v>-0.950058272966335</v>
      </c>
      <c r="Y210" s="309">
        <f t="shared" si="232"/>
        <v>-1.7815618543937</v>
      </c>
      <c r="Z210" s="309">
        <f t="shared" si="232"/>
        <v>-2.08268876411684</v>
      </c>
    </row>
    <row r="211" outlineLevel="1" spans="3:26">
      <c r="C211" s="51" t="s">
        <v>284</v>
      </c>
      <c r="D211" s="181" t="s">
        <v>48</v>
      </c>
      <c r="F211" s="309">
        <f t="shared" ref="F211:U211" si="233">+F162</f>
        <v>-2.266</v>
      </c>
      <c r="G211" s="309">
        <f t="shared" si="233"/>
        <v>-1.997</v>
      </c>
      <c r="H211" s="309">
        <f t="shared" si="233"/>
        <v>-2.002</v>
      </c>
      <c r="I211" s="309">
        <f t="shared" si="233"/>
        <v>-2.048</v>
      </c>
      <c r="J211" s="309">
        <f t="shared" si="233"/>
        <v>-1.973</v>
      </c>
      <c r="K211" s="309">
        <f t="shared" si="233"/>
        <v>-1.997</v>
      </c>
      <c r="L211" s="309">
        <f t="shared" si="233"/>
        <v>-2.002</v>
      </c>
      <c r="M211" s="309">
        <f t="shared" si="233"/>
        <v>-2.048</v>
      </c>
      <c r="N211" s="309">
        <f t="shared" si="233"/>
        <v>-1.973</v>
      </c>
      <c r="O211" s="309">
        <f t="shared" si="233"/>
        <v>-1.997</v>
      </c>
      <c r="P211" s="309">
        <f t="shared" si="233"/>
        <v>-2.002</v>
      </c>
      <c r="Q211" s="309">
        <f t="shared" si="233"/>
        <v>-2.048</v>
      </c>
      <c r="R211" s="309">
        <f t="shared" si="233"/>
        <v>-1.973</v>
      </c>
      <c r="S211" s="309">
        <f t="shared" si="233"/>
        <v>-1.997</v>
      </c>
      <c r="T211" s="309">
        <f t="shared" si="233"/>
        <v>-2.002</v>
      </c>
      <c r="U211" s="309">
        <f t="shared" si="233"/>
        <v>-2.048</v>
      </c>
      <c r="W211" s="309">
        <f t="shared" ref="W211:Z211" si="234">SUMIF($F$26:$U$26,W$26,$F211:$U211)</f>
        <v>-8.313</v>
      </c>
      <c r="X211" s="309">
        <f t="shared" si="234"/>
        <v>-8.02</v>
      </c>
      <c r="Y211" s="309">
        <f t="shared" si="234"/>
        <v>-8.02</v>
      </c>
      <c r="Z211" s="309">
        <f t="shared" si="234"/>
        <v>-8.02</v>
      </c>
    </row>
    <row r="212" outlineLevel="1" spans="3:26">
      <c r="C212" s="51" t="s">
        <v>292</v>
      </c>
      <c r="D212" s="181" t="s">
        <v>48</v>
      </c>
      <c r="F212" s="309">
        <f t="shared" ref="F212:U212" si="235">+F169</f>
        <v>-21.064</v>
      </c>
      <c r="G212" s="309">
        <f t="shared" si="235"/>
        <v>-17.914</v>
      </c>
      <c r="H212" s="309">
        <f t="shared" si="235"/>
        <v>-15.252</v>
      </c>
      <c r="I212" s="309">
        <f t="shared" si="235"/>
        <v>-21.246</v>
      </c>
      <c r="J212" s="309">
        <f t="shared" si="235"/>
        <v>-29.588</v>
      </c>
      <c r="K212" s="309">
        <f t="shared" si="235"/>
        <v>-18.4295262732644</v>
      </c>
      <c r="L212" s="309">
        <f t="shared" si="235"/>
        <v>-15.9801743213522</v>
      </c>
      <c r="M212" s="309">
        <f t="shared" si="235"/>
        <v>-21.3161022194308</v>
      </c>
      <c r="N212" s="309">
        <f t="shared" si="235"/>
        <v>-32.8505542861149</v>
      </c>
      <c r="O212" s="309">
        <f t="shared" si="235"/>
        <v>-20.4533289006332</v>
      </c>
      <c r="P212" s="309">
        <f t="shared" si="235"/>
        <v>-17.7593966302854</v>
      </c>
      <c r="Q212" s="309">
        <f t="shared" si="235"/>
        <v>-23.7051222100598</v>
      </c>
      <c r="R212" s="309">
        <f t="shared" si="235"/>
        <v>-37.2702297675684</v>
      </c>
      <c r="S212" s="309">
        <f t="shared" si="235"/>
        <v>-23.0957731408852</v>
      </c>
      <c r="T212" s="309">
        <f t="shared" si="235"/>
        <v>-19.9649330022627</v>
      </c>
      <c r="U212" s="309">
        <f t="shared" si="235"/>
        <v>-26.6955166658105</v>
      </c>
      <c r="W212" s="309">
        <f t="shared" ref="W212:Z212" si="236">SUMIF($F$26:$U$26,W$26,$F212:$U212)</f>
        <v>-75.476</v>
      </c>
      <c r="X212" s="309">
        <f t="shared" si="236"/>
        <v>-85.3138028140475</v>
      </c>
      <c r="Y212" s="309">
        <f t="shared" si="236"/>
        <v>-94.7684020270933</v>
      </c>
      <c r="Z212" s="309">
        <f t="shared" si="236"/>
        <v>-107.026452576527</v>
      </c>
    </row>
    <row r="213" outlineLevel="1" spans="3:26">
      <c r="C213" s="51" t="s">
        <v>293</v>
      </c>
      <c r="D213" s="181" t="s">
        <v>48</v>
      </c>
      <c r="F213" s="309">
        <f t="shared" ref="F213:U213" si="237">+F170</f>
        <v>-4.719</v>
      </c>
      <c r="G213" s="309">
        <f t="shared" si="237"/>
        <v>-4.132</v>
      </c>
      <c r="H213" s="309">
        <f t="shared" si="237"/>
        <v>-4.581</v>
      </c>
      <c r="I213" s="309">
        <f t="shared" si="237"/>
        <v>-5.479</v>
      </c>
      <c r="J213" s="309">
        <f t="shared" si="237"/>
        <v>-4.127</v>
      </c>
      <c r="K213" s="309">
        <f t="shared" si="237"/>
        <v>-4.25091004583726</v>
      </c>
      <c r="L213" s="309">
        <f t="shared" si="237"/>
        <v>-4.79971010792779</v>
      </c>
      <c r="M213" s="309">
        <f t="shared" si="237"/>
        <v>-5.49707822932606</v>
      </c>
      <c r="N213" s="309">
        <f t="shared" si="237"/>
        <v>-4.58206832292808</v>
      </c>
      <c r="O213" s="309">
        <f t="shared" si="237"/>
        <v>-4.71771547490323</v>
      </c>
      <c r="P213" s="309">
        <f t="shared" si="237"/>
        <v>-5.33410673769589</v>
      </c>
      <c r="Q213" s="309">
        <f t="shared" si="237"/>
        <v>-6.11316787107774</v>
      </c>
      <c r="R213" s="309">
        <f t="shared" si="237"/>
        <v>-5.19853448191005</v>
      </c>
      <c r="S213" s="309">
        <f t="shared" si="237"/>
        <v>-5.3272152851478</v>
      </c>
      <c r="T213" s="309">
        <f t="shared" si="237"/>
        <v>-5.996548523693</v>
      </c>
      <c r="U213" s="309">
        <f t="shared" si="237"/>
        <v>-6.88434226734329</v>
      </c>
      <c r="W213" s="309">
        <f t="shared" ref="W213:Z213" si="238">SUMIF($F$26:$U$26,W$26,$F213:$U213)</f>
        <v>-18.911</v>
      </c>
      <c r="X213" s="309">
        <f t="shared" si="238"/>
        <v>-18.6746983830911</v>
      </c>
      <c r="Y213" s="309">
        <f t="shared" si="238"/>
        <v>-20.7470584066049</v>
      </c>
      <c r="Z213" s="309">
        <f t="shared" si="238"/>
        <v>-23.4066405580941</v>
      </c>
    </row>
    <row r="214" outlineLevel="1" spans="3:26">
      <c r="C214" s="189" t="s">
        <v>51</v>
      </c>
      <c r="D214" s="190" t="s">
        <v>48</v>
      </c>
      <c r="E214" s="212"/>
      <c r="F214" s="332">
        <f t="shared" ref="F214:U214" si="239">SUM(F208:F213)</f>
        <v>180.66</v>
      </c>
      <c r="G214" s="332">
        <f t="shared" si="239"/>
        <v>183.148</v>
      </c>
      <c r="H214" s="332">
        <f t="shared" si="239"/>
        <v>180.832</v>
      </c>
      <c r="I214" s="332">
        <f t="shared" si="239"/>
        <v>229.548</v>
      </c>
      <c r="J214" s="332">
        <f t="shared" si="239"/>
        <v>211.235</v>
      </c>
      <c r="K214" s="332">
        <f t="shared" si="239"/>
        <v>200.698455680443</v>
      </c>
      <c r="L214" s="332">
        <f t="shared" si="239"/>
        <v>216.606359319395</v>
      </c>
      <c r="M214" s="332">
        <f t="shared" si="239"/>
        <v>213.346177405672</v>
      </c>
      <c r="N214" s="332">
        <f t="shared" si="239"/>
        <v>233.920308921017</v>
      </c>
      <c r="O214" s="332">
        <f t="shared" si="239"/>
        <v>223.486617576748</v>
      </c>
      <c r="P214" s="332">
        <f t="shared" si="239"/>
        <v>239.116805323208</v>
      </c>
      <c r="Q214" s="332">
        <f t="shared" si="239"/>
        <v>238.209858936338</v>
      </c>
      <c r="R214" s="332">
        <f t="shared" si="239"/>
        <v>265.402467440403</v>
      </c>
      <c r="S214" s="332">
        <f t="shared" si="239"/>
        <v>252.786984523164</v>
      </c>
      <c r="T214" s="332">
        <f t="shared" si="239"/>
        <v>270.125576904659</v>
      </c>
      <c r="U214" s="332">
        <f t="shared" si="239"/>
        <v>266.188631984381</v>
      </c>
      <c r="W214" s="332">
        <f t="shared" ref="W214:Z214" si="240">SUM(W208:W213)</f>
        <v>774.188</v>
      </c>
      <c r="X214" s="332">
        <f t="shared" si="240"/>
        <v>841.885992405509</v>
      </c>
      <c r="Y214" s="332">
        <f t="shared" si="240"/>
        <v>934.733590757311</v>
      </c>
      <c r="Z214" s="332">
        <f t="shared" si="240"/>
        <v>1054.50366085261</v>
      </c>
    </row>
    <row r="215" outlineLevel="1"/>
    <row r="216" outlineLevel="1" spans="3:26">
      <c r="C216" s="11" t="s">
        <v>310</v>
      </c>
      <c r="D216" s="736" t="s">
        <v>56</v>
      </c>
      <c r="F216" s="231">
        <f t="shared" ref="F216:J216" si="241">-F180/F214</f>
        <v>1.43086460755009</v>
      </c>
      <c r="G216" s="231">
        <f t="shared" si="241"/>
        <v>0.717998558542818</v>
      </c>
      <c r="H216" s="231">
        <f t="shared" si="241"/>
        <v>0.727747301362591</v>
      </c>
      <c r="I216" s="231">
        <f t="shared" si="241"/>
        <v>0</v>
      </c>
      <c r="J216" s="231">
        <f t="shared" si="241"/>
        <v>1.39702227377092</v>
      </c>
      <c r="K216" s="320">
        <f t="shared" ref="K216:U216" si="242">+G216</f>
        <v>0.717998558542818</v>
      </c>
      <c r="L216" s="320">
        <f t="shared" si="242"/>
        <v>0.727747301362591</v>
      </c>
      <c r="M216" s="320">
        <f t="shared" si="242"/>
        <v>0</v>
      </c>
      <c r="N216" s="320">
        <f t="shared" si="242"/>
        <v>1.39702227377092</v>
      </c>
      <c r="O216" s="320">
        <f t="shared" si="242"/>
        <v>0.717998558542818</v>
      </c>
      <c r="P216" s="320">
        <f t="shared" si="242"/>
        <v>0.727747301362591</v>
      </c>
      <c r="Q216" s="320">
        <f t="shared" si="242"/>
        <v>0</v>
      </c>
      <c r="R216" s="320">
        <f t="shared" si="242"/>
        <v>1.39702227377092</v>
      </c>
      <c r="S216" s="320">
        <f t="shared" si="242"/>
        <v>0.717998558542818</v>
      </c>
      <c r="T216" s="320">
        <f t="shared" si="242"/>
        <v>0.727747301362591</v>
      </c>
      <c r="U216" s="320">
        <f t="shared" si="242"/>
        <v>0</v>
      </c>
      <c r="W216" s="231">
        <f t="shared" ref="W216:Z216" si="243">-W180/W214</f>
        <v>0.673738161790159</v>
      </c>
      <c r="X216" s="231">
        <f t="shared" si="243"/>
        <v>0.708927219026013</v>
      </c>
      <c r="Y216" s="231">
        <f t="shared" si="243"/>
        <v>0.707443882884752</v>
      </c>
      <c r="Z216" s="231">
        <f t="shared" si="243"/>
        <v>0.710151170124834</v>
      </c>
    </row>
    <row r="217" outlineLevel="1" spans="3:21">
      <c r="C217" s="11" t="s">
        <v>502</v>
      </c>
      <c r="D217" s="181" t="s">
        <v>48</v>
      </c>
      <c r="F217" s="274"/>
      <c r="G217" s="274"/>
      <c r="H217" s="274"/>
      <c r="I217" s="274"/>
      <c r="J217" s="274"/>
      <c r="K217" s="274">
        <f t="shared" ref="K217:U217" si="244">+K216*K214</f>
        <v>144.101201880328</v>
      </c>
      <c r="L217" s="274">
        <f t="shared" si="244"/>
        <v>157.634693452665</v>
      </c>
      <c r="M217" s="274">
        <f t="shared" si="244"/>
        <v>0</v>
      </c>
      <c r="N217" s="274">
        <f t="shared" si="244"/>
        <v>326.791881850036</v>
      </c>
      <c r="O217" s="274">
        <f t="shared" si="244"/>
        <v>160.463069273715</v>
      </c>
      <c r="P217" s="274">
        <f t="shared" si="244"/>
        <v>174.016609784408</v>
      </c>
      <c r="Q217" s="274">
        <f t="shared" si="244"/>
        <v>0</v>
      </c>
      <c r="R217" s="274">
        <f t="shared" si="244"/>
        <v>370.773158528004</v>
      </c>
      <c r="S217" s="274">
        <f t="shared" si="244"/>
        <v>181.500690506017</v>
      </c>
      <c r="T217" s="274">
        <f t="shared" si="244"/>
        <v>196.583159621379</v>
      </c>
      <c r="U217" s="274">
        <f t="shared" si="244"/>
        <v>0</v>
      </c>
    </row>
    <row r="218" outlineLevel="1"/>
    <row r="219" outlineLevel="1" spans="3:21">
      <c r="C219" s="11" t="s">
        <v>503</v>
      </c>
      <c r="D219" s="181" t="s">
        <v>48</v>
      </c>
      <c r="F219" s="231"/>
      <c r="G219" s="231"/>
      <c r="H219" s="231"/>
      <c r="I219" s="231"/>
      <c r="J219" s="231"/>
      <c r="K219" s="274">
        <f>-SUM(K42:K44)*Num_Periods*Buyer_Min_Cash_Pct</f>
        <v>92.2511268342852</v>
      </c>
      <c r="L219" s="274">
        <f>-SUM(L42:L44)*Num_Periods*Buyer_Min_Cash_Pct</f>
        <v>103.690110554167</v>
      </c>
      <c r="M219" s="274">
        <f>-SUM(M42:M44)*Num_Periods*Buyer_Min_Cash_Pct</f>
        <v>104.043983948038</v>
      </c>
      <c r="N219" s="274">
        <f>-SUM(N42:N44)*Num_Periods*Buyer_Min_Cash_Pct</f>
        <v>104.450988873198</v>
      </c>
      <c r="O219" s="274">
        <f>-SUM(O42:O44)*Num_Periods*Buyer_Min_Cash_Pct</f>
        <v>102.53537232792</v>
      </c>
      <c r="P219" s="274">
        <f>-SUM(P42:P44)*Num_Periods*Buyer_Min_Cash_Pct</f>
        <v>115.315840367574</v>
      </c>
      <c r="Q219" s="274">
        <f>-SUM(Q42:Q44)*Num_Periods*Buyer_Min_Cash_Pct</f>
        <v>115.89809351544</v>
      </c>
      <c r="R219" s="274">
        <f>-SUM(R42:R44)*Num_Periods*Buyer_Min_Cash_Pct</f>
        <v>119.298648333043</v>
      </c>
      <c r="S219" s="274">
        <f>-SUM(S42:S44)*Num_Periods*Buyer_Min_Cash_Pct</f>
        <v>116.666231932261</v>
      </c>
      <c r="T219" s="274">
        <f>-SUM(T42:T44)*Num_Periods*Buyer_Min_Cash_Pct</f>
        <v>130.439147838331</v>
      </c>
      <c r="U219" s="274">
        <f>-SUM(U42:U44)*Num_Periods*Buyer_Min_Cash_Pct</f>
        <v>131.147583329871</v>
      </c>
    </row>
    <row r="220" outlineLevel="1" spans="3:21">
      <c r="C220" s="11" t="s">
        <v>504</v>
      </c>
      <c r="D220" s="181" t="s">
        <v>48</v>
      </c>
      <c r="K220" s="274">
        <f t="shared" ref="K220:U220" si="245">+J186+K166+K174+K178+K180+K181</f>
        <v>-148.113206589736</v>
      </c>
      <c r="L220" s="274">
        <f t="shared" si="245"/>
        <v>11.7545003998983</v>
      </c>
      <c r="M220" s="274">
        <f t="shared" si="245"/>
        <v>229.761831599682</v>
      </c>
      <c r="N220" s="274">
        <f t="shared" si="245"/>
        <v>-82.7691201972923</v>
      </c>
      <c r="O220" s="274">
        <f t="shared" si="245"/>
        <v>-72.6399816394984</v>
      </c>
      <c r="P220" s="274">
        <f t="shared" si="245"/>
        <v>12.6433401688394</v>
      </c>
      <c r="Q220" s="274">
        <f t="shared" si="245"/>
        <v>258.268494164033</v>
      </c>
      <c r="R220" s="274">
        <f t="shared" si="245"/>
        <v>-74.7919074773295</v>
      </c>
      <c r="S220" s="274">
        <f t="shared" si="245"/>
        <v>-83.8546590276115</v>
      </c>
      <c r="T220" s="274">
        <f t="shared" si="245"/>
        <v>21.9701479285177</v>
      </c>
      <c r="U220" s="274">
        <f t="shared" si="245"/>
        <v>299.527075052324</v>
      </c>
    </row>
    <row r="221" outlineLevel="1" spans="3:21">
      <c r="C221" s="11" t="s">
        <v>505</v>
      </c>
      <c r="D221" s="181" t="s">
        <v>48</v>
      </c>
      <c r="K221" s="274">
        <f t="shared" ref="K221:U221" si="246">MAX(K219-K220,0)</f>
        <v>240.364333424021</v>
      </c>
      <c r="L221" s="274">
        <f t="shared" si="246"/>
        <v>91.9356101542683</v>
      </c>
      <c r="M221" s="274">
        <f t="shared" si="246"/>
        <v>0</v>
      </c>
      <c r="N221" s="274">
        <f t="shared" si="246"/>
        <v>187.22010907049</v>
      </c>
      <c r="O221" s="274">
        <f t="shared" si="246"/>
        <v>175.175353967419</v>
      </c>
      <c r="P221" s="274">
        <f t="shared" si="246"/>
        <v>102.672500198735</v>
      </c>
      <c r="Q221" s="274">
        <f t="shared" si="246"/>
        <v>0</v>
      </c>
      <c r="R221" s="274">
        <f t="shared" si="246"/>
        <v>194.090555810372</v>
      </c>
      <c r="S221" s="274">
        <f t="shared" si="246"/>
        <v>200.520890959873</v>
      </c>
      <c r="T221" s="274">
        <f t="shared" si="246"/>
        <v>108.468999909814</v>
      </c>
      <c r="U221" s="274">
        <f t="shared" si="246"/>
        <v>0</v>
      </c>
    </row>
    <row r="222" outlineLevel="1"/>
    <row r="223" outlineLevel="1" spans="3:26">
      <c r="C223" s="11" t="s">
        <v>311</v>
      </c>
      <c r="D223" s="181" t="s">
        <v>48</v>
      </c>
      <c r="K223" s="274">
        <f>+K221*Buyer_Pct_Debt</f>
        <v>216.327900081619</v>
      </c>
      <c r="L223" s="274">
        <f>+L221*Buyer_Pct_Debt</f>
        <v>82.7420491388415</v>
      </c>
      <c r="M223" s="274">
        <f>+M221*Buyer_Pct_Debt</f>
        <v>0</v>
      </c>
      <c r="N223" s="274">
        <f>+N221*Buyer_Pct_Debt</f>
        <v>168.498098163441</v>
      </c>
      <c r="O223" s="274">
        <f>+O221*Buyer_Pct_Debt</f>
        <v>157.657818570677</v>
      </c>
      <c r="P223" s="274">
        <f>+P221*Buyer_Pct_Debt</f>
        <v>92.4052501788612</v>
      </c>
      <c r="Q223" s="274">
        <f>+Q221*Buyer_Pct_Debt</f>
        <v>0</v>
      </c>
      <c r="R223" s="274">
        <f>+R221*Buyer_Pct_Debt</f>
        <v>174.681500229335</v>
      </c>
      <c r="S223" s="274">
        <f>+S221*Buyer_Pct_Debt</f>
        <v>180.468801863886</v>
      </c>
      <c r="T223" s="274">
        <f>+T221*Buyer_Pct_Debt</f>
        <v>97.6220999188323</v>
      </c>
      <c r="U223" s="274">
        <f>+U221*Buyer_Pct_Debt</f>
        <v>0</v>
      </c>
      <c r="W223" s="274">
        <f t="shared" ref="W223:Z223" si="247">SUMIF($F$26:$U$26,W$26,$F223:$U223)</f>
        <v>0</v>
      </c>
      <c r="X223" s="274">
        <f t="shared" si="247"/>
        <v>299.069949220461</v>
      </c>
      <c r="Y223" s="274">
        <f t="shared" si="247"/>
        <v>418.561166912979</v>
      </c>
      <c r="Z223" s="274">
        <f t="shared" si="247"/>
        <v>452.772402012053</v>
      </c>
    </row>
    <row r="224" outlineLevel="1" spans="3:26">
      <c r="C224" s="11" t="s">
        <v>312</v>
      </c>
      <c r="D224" s="181" t="s">
        <v>48</v>
      </c>
      <c r="K224" s="274">
        <f>+K221*Buyer_Pct_Equity</f>
        <v>24.0364333424021</v>
      </c>
      <c r="L224" s="274">
        <f>+L221*Buyer_Pct_Equity</f>
        <v>9.19356101542683</v>
      </c>
      <c r="M224" s="274">
        <f>+M221*Buyer_Pct_Equity</f>
        <v>0</v>
      </c>
      <c r="N224" s="274">
        <f>+N221*Buyer_Pct_Equity</f>
        <v>18.722010907049</v>
      </c>
      <c r="O224" s="274">
        <f>+O221*Buyer_Pct_Equity</f>
        <v>17.5175353967419</v>
      </c>
      <c r="P224" s="274">
        <f>+P221*Buyer_Pct_Equity</f>
        <v>10.2672500198735</v>
      </c>
      <c r="Q224" s="274">
        <f>+Q221*Buyer_Pct_Equity</f>
        <v>0</v>
      </c>
      <c r="R224" s="274">
        <f>+R221*Buyer_Pct_Equity</f>
        <v>19.4090555810372</v>
      </c>
      <c r="S224" s="274">
        <f>+S221*Buyer_Pct_Equity</f>
        <v>20.0520890959873</v>
      </c>
      <c r="T224" s="274">
        <f>+T221*Buyer_Pct_Equity</f>
        <v>10.8468999909814</v>
      </c>
      <c r="U224" s="274">
        <f>+U221*Buyer_Pct_Equity</f>
        <v>0</v>
      </c>
      <c r="W224" s="274">
        <f t="shared" ref="W224:Z224" si="248">SUMIF($F$26:$U$26,W$26,$F224:$U224)</f>
        <v>0</v>
      </c>
      <c r="X224" s="274">
        <f t="shared" si="248"/>
        <v>33.229994357829</v>
      </c>
      <c r="Y224" s="274">
        <f t="shared" si="248"/>
        <v>46.5067963236643</v>
      </c>
      <c r="Z224" s="274">
        <f t="shared" si="248"/>
        <v>50.3080446680059</v>
      </c>
    </row>
    <row r="225" outlineLevel="1"/>
    <row r="226" outlineLevel="1" spans="3:26">
      <c r="C226" s="11" t="s">
        <v>313</v>
      </c>
      <c r="D226" s="9" t="s">
        <v>229</v>
      </c>
      <c r="F226" s="343"/>
      <c r="G226" s="343"/>
      <c r="H226" s="343"/>
      <c r="I226" s="343"/>
      <c r="J226" s="343"/>
      <c r="K226" s="343">
        <f>+K224/Buyer_Share_Price</f>
        <v>0.203664068313863</v>
      </c>
      <c r="L226" s="343">
        <f>+L224/Buyer_Share_Price</f>
        <v>0.077898330922105</v>
      </c>
      <c r="M226" s="343">
        <f>+M224/Buyer_Share_Price</f>
        <v>0</v>
      </c>
      <c r="N226" s="343">
        <f>+N224/Buyer_Share_Price</f>
        <v>0.158634222225462</v>
      </c>
      <c r="O226" s="343">
        <f>+O224/Buyer_Share_Price</f>
        <v>0.14842853242452</v>
      </c>
      <c r="P226" s="343">
        <f>+P224/Buyer_Share_Price</f>
        <v>0.0869958483297193</v>
      </c>
      <c r="Q226" s="343">
        <f>+Q224/Buyer_Share_Price</f>
        <v>0</v>
      </c>
      <c r="R226" s="343">
        <f>+R224/Buyer_Share_Price</f>
        <v>0.164455648034547</v>
      </c>
      <c r="S226" s="343">
        <f>+S224/Buyer_Share_Price</f>
        <v>0.169904161125125</v>
      </c>
      <c r="T226" s="343">
        <f>+T224/Buyer_Share_Price</f>
        <v>0.0919073037703894</v>
      </c>
      <c r="U226" s="343">
        <f>+U224/Buyer_Share_Price</f>
        <v>0</v>
      </c>
      <c r="W226" s="312">
        <f t="shared" ref="W226:Z226" si="249">SUMIF($F$26:$U$26,W$26,$F226:$U226)</f>
        <v>0</v>
      </c>
      <c r="X226" s="312">
        <f t="shared" si="249"/>
        <v>0.281562399235968</v>
      </c>
      <c r="Y226" s="312">
        <f t="shared" si="249"/>
        <v>0.394058602979701</v>
      </c>
      <c r="Z226" s="312">
        <f t="shared" si="249"/>
        <v>0.426267112930062</v>
      </c>
    </row>
    <row r="228" spans="2:26">
      <c r="B228" s="254"/>
      <c r="C228" s="254"/>
      <c r="D228" s="255"/>
      <c r="E228" s="256"/>
      <c r="F228" s="257" t="str">
        <f>$F$28</f>
        <v>Historical:</v>
      </c>
      <c r="G228" s="257"/>
      <c r="H228" s="257"/>
      <c r="I228" s="257"/>
      <c r="J228" s="296"/>
      <c r="K228" s="297" t="str">
        <f>$K$28</f>
        <v>Projected:</v>
      </c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W228" s="257" t="str">
        <f>$W$28</f>
        <v>Historical:</v>
      </c>
      <c r="X228" s="297" t="str">
        <f>$X$28</f>
        <v>Projected:</v>
      </c>
      <c r="Y228" s="257"/>
      <c r="Z228" s="257"/>
    </row>
    <row r="229" spans="2:26">
      <c r="B229" s="173" t="s">
        <v>314</v>
      </c>
      <c r="C229" s="173"/>
      <c r="D229" s="174" t="str">
        <f>+$D$5</f>
        <v>Units:</v>
      </c>
      <c r="E229" s="175"/>
      <c r="F229" s="258">
        <f>$F$29</f>
        <v>42460</v>
      </c>
      <c r="G229" s="259">
        <f>$G$29</f>
        <v>42551</v>
      </c>
      <c r="H229" s="260">
        <f>$H$29</f>
        <v>42643</v>
      </c>
      <c r="I229" s="298">
        <f>$I$29</f>
        <v>42735</v>
      </c>
      <c r="J229" s="258">
        <f>$J$29</f>
        <v>42825</v>
      </c>
      <c r="K229" s="299">
        <f>$K$29</f>
        <v>42916</v>
      </c>
      <c r="L229" s="260">
        <f>$L$29</f>
        <v>43008</v>
      </c>
      <c r="M229" s="298">
        <f>$M$29</f>
        <v>43100</v>
      </c>
      <c r="N229" s="258">
        <f>$N$29</f>
        <v>43190</v>
      </c>
      <c r="O229" s="259">
        <f>$O$29</f>
        <v>43281</v>
      </c>
      <c r="P229" s="260">
        <f>$P$29</f>
        <v>43373</v>
      </c>
      <c r="Q229" s="298">
        <f>$Q$29</f>
        <v>43465</v>
      </c>
      <c r="R229" s="258">
        <f>$R$29</f>
        <v>43555</v>
      </c>
      <c r="S229" s="259">
        <f>$S$29</f>
        <v>43646</v>
      </c>
      <c r="T229" s="260">
        <f>$T$29</f>
        <v>43738</v>
      </c>
      <c r="U229" s="298">
        <f>$U$29</f>
        <v>43830</v>
      </c>
      <c r="W229" s="313">
        <f>$W$29</f>
        <v>42735</v>
      </c>
      <c r="X229" s="314">
        <f>$X$29</f>
        <v>43100</v>
      </c>
      <c r="Y229" s="176">
        <f>$Y$29</f>
        <v>43465</v>
      </c>
      <c r="Z229" s="176">
        <f>$Z$29</f>
        <v>43830</v>
      </c>
    </row>
    <row r="230" outlineLevel="1"/>
    <row r="231" outlineLevel="1" spans="3:26">
      <c r="C231" s="11" t="s">
        <v>315</v>
      </c>
      <c r="D231" s="181" t="s">
        <v>48</v>
      </c>
      <c r="F231" s="324">
        <f>(+F39+SUM(F42:F44))*Num_Periods</f>
        <v>1148.528</v>
      </c>
      <c r="G231" s="324">
        <f>(+G39+SUM(G42:G44))*Num_Periods</f>
        <v>1151.568</v>
      </c>
      <c r="H231" s="324">
        <f>(+H39+SUM(H42:H44))*Num_Periods</f>
        <v>1175.444</v>
      </c>
      <c r="I231" s="324">
        <f>(+I39+SUM(I42:I44))*Num_Periods</f>
        <v>1311.756</v>
      </c>
      <c r="J231" s="324">
        <f>(+J39+SUM(J42:J44))*Num_Periods</f>
        <v>1254.996</v>
      </c>
      <c r="K231" s="324">
        <f>(+K39+SUM(K42:K44))*Num_Periods</f>
        <v>1196.49949016941</v>
      </c>
      <c r="L231" s="324">
        <f>(+L39+SUM(L42:L44))*Num_Periods</f>
        <v>1252.59728694049</v>
      </c>
      <c r="M231" s="324">
        <f>(+M39+SUM(M42:M44))*Num_Periods</f>
        <v>1274.32070854538</v>
      </c>
      <c r="N231" s="324">
        <f>(+N39+SUM(N42:N44))*Num_Periods</f>
        <v>1400.60256533751</v>
      </c>
      <c r="O231" s="324">
        <f>(+O39+SUM(O42:O44))*Num_Periods</f>
        <v>1326.35208538858</v>
      </c>
      <c r="P231" s="324">
        <f>(+P39+SUM(P42:P44))*Num_Periods</f>
        <v>1391.25126413137</v>
      </c>
      <c r="Q231" s="324">
        <f>(+Q39+SUM(Q42:Q44))*Num_Periods</f>
        <v>1415.20833796501</v>
      </c>
      <c r="R231" s="324">
        <f>(+R39+SUM(R42:R44))*Num_Periods</f>
        <v>1581.0885650541</v>
      </c>
      <c r="S231" s="324">
        <f>(+S39+SUM(S42:S44))*Num_Periods</f>
        <v>1488.86940927593</v>
      </c>
      <c r="T231" s="324">
        <f>(+T39+SUM(T42:T44))*Num_Periods</f>
        <v>1556.00798256741</v>
      </c>
      <c r="U231" s="324">
        <f>(+U39+SUM(U42:U44))*Num_Periods</f>
        <v>1587.4466878578</v>
      </c>
      <c r="W231" s="324">
        <f t="shared" ref="W231:Z231" si="250">+W39+SUM(W42:W44)</f>
        <v>1196.824</v>
      </c>
      <c r="X231" s="324">
        <f t="shared" si="250"/>
        <v>1244.60337141382</v>
      </c>
      <c r="Y231" s="324">
        <f t="shared" si="250"/>
        <v>1383.35356320562</v>
      </c>
      <c r="Z231" s="324">
        <f t="shared" si="250"/>
        <v>1553.35316118881</v>
      </c>
    </row>
    <row r="232" outlineLevel="1" spans="3:26">
      <c r="C232" s="344" t="s">
        <v>316</v>
      </c>
      <c r="D232" s="736" t="s">
        <v>56</v>
      </c>
      <c r="F232" s="345"/>
      <c r="G232" s="345"/>
      <c r="H232" s="345"/>
      <c r="I232" s="345"/>
      <c r="J232" s="345">
        <f t="shared" ref="J232:U232" si="251">+J231/F231-1</f>
        <v>0.0926995249571625</v>
      </c>
      <c r="K232" s="345">
        <f t="shared" si="251"/>
        <v>0.0390176612839246</v>
      </c>
      <c r="L232" s="345">
        <f t="shared" si="251"/>
        <v>0.0656375692423412</v>
      </c>
      <c r="M232" s="345">
        <f t="shared" si="251"/>
        <v>-0.0285383039640124</v>
      </c>
      <c r="N232" s="345">
        <f t="shared" si="251"/>
        <v>0.116021537389367</v>
      </c>
      <c r="O232" s="345">
        <f t="shared" si="251"/>
        <v>0.108527079439698</v>
      </c>
      <c r="P232" s="345">
        <f t="shared" si="251"/>
        <v>0.110693180191652</v>
      </c>
      <c r="Q232" s="345">
        <f t="shared" si="251"/>
        <v>0.110559004868127</v>
      </c>
      <c r="R232" s="345">
        <f t="shared" si="251"/>
        <v>0.128863108053139</v>
      </c>
      <c r="S232" s="345">
        <f t="shared" si="251"/>
        <v>0.122529549791253</v>
      </c>
      <c r="T232" s="345">
        <f t="shared" si="251"/>
        <v>0.118423409691494</v>
      </c>
      <c r="U232" s="345">
        <f t="shared" si="251"/>
        <v>0.121705296154814</v>
      </c>
      <c r="W232" s="345"/>
      <c r="X232" s="345">
        <f t="shared" ref="X232:Z232" si="252">+X231/W231-1</f>
        <v>0.0399218025489299</v>
      </c>
      <c r="Y232" s="345">
        <f t="shared" si="252"/>
        <v>0.111481452628705</v>
      </c>
      <c r="Z232" s="345">
        <f t="shared" si="252"/>
        <v>0.122889478514269</v>
      </c>
    </row>
    <row r="233" outlineLevel="1" spans="3:26">
      <c r="C233" s="344" t="s">
        <v>317</v>
      </c>
      <c r="D233" s="736" t="s">
        <v>56</v>
      </c>
      <c r="F233" s="345">
        <f>+F231/(F39*Num_Periods)</f>
        <v>0.569481494409945</v>
      </c>
      <c r="G233" s="345">
        <f>+G231/(G39*Num_Periods)</f>
        <v>0.559085241992178</v>
      </c>
      <c r="H233" s="345">
        <f>+H231/(H39*Num_Periods)</f>
        <v>0.537918296591756</v>
      </c>
      <c r="I233" s="345">
        <f>+I231/(I39*Num_Periods)</f>
        <v>0.568561704754095</v>
      </c>
      <c r="J233" s="345">
        <f>+J231/(J39*Num_Periods)</f>
        <v>0.569863177912305</v>
      </c>
      <c r="K233" s="345">
        <f>+K231/(K39*Num_Periods)</f>
        <v>0.564650030851877</v>
      </c>
      <c r="L233" s="345">
        <f>+L231/(L39*Num_Periods)</f>
        <v>0.547105554235612</v>
      </c>
      <c r="M233" s="345">
        <f>+M231/(M39*Num_Periods)</f>
        <v>0.550519452058329</v>
      </c>
      <c r="N233" s="345">
        <f>+N231/(N39*Num_Periods)</f>
        <v>0.572817239144332</v>
      </c>
      <c r="O233" s="345">
        <f>+O231/(O39*Num_Periods)</f>
        <v>0.563995751722</v>
      </c>
      <c r="P233" s="345">
        <f>+P231/(P39*Num_Periods)</f>
        <v>0.546787446115317</v>
      </c>
      <c r="Q233" s="345">
        <f>+Q231/(Q39*Num_Periods)</f>
        <v>0.549768563152333</v>
      </c>
      <c r="R233" s="345">
        <f>+R231/(R39*Num_Periods)</f>
        <v>0.56995161899994</v>
      </c>
      <c r="S233" s="345">
        <f>+S231/(S39*Num_Periods)</f>
        <v>0.560667151230643</v>
      </c>
      <c r="T233" s="345">
        <f>+T231/(T39*Num_Periods)</f>
        <v>0.543982756188268</v>
      </c>
      <c r="U233" s="345">
        <f>+U231/(U39*Num_Periods)</f>
        <v>0.547598866914351</v>
      </c>
      <c r="W233" s="345">
        <f t="shared" ref="W233:Z233" si="253">+W231/W39</f>
        <v>0.558685807620438</v>
      </c>
      <c r="X233" s="345">
        <f t="shared" si="253"/>
        <v>0.557771328894971</v>
      </c>
      <c r="Y233" s="345">
        <f t="shared" si="253"/>
        <v>0.558061666913808</v>
      </c>
      <c r="Z233" s="345">
        <f t="shared" si="253"/>
        <v>0.555317919931095</v>
      </c>
    </row>
    <row r="234" outlineLevel="1" spans="24:24">
      <c r="X234" s="274"/>
    </row>
    <row r="235" outlineLevel="1" spans="3:26">
      <c r="C235" s="11" t="s">
        <v>318</v>
      </c>
      <c r="D235" s="181" t="s">
        <v>48</v>
      </c>
      <c r="F235" s="289">
        <f>(+F39+SUM(F42:F43)-F36)*Num_Periods</f>
        <v>1266.356</v>
      </c>
      <c r="G235" s="289">
        <f>(+G39+SUM(G42:G43)-G36)*Num_Periods</f>
        <v>1283.32</v>
      </c>
      <c r="H235" s="289">
        <f>(+H39+SUM(H42:H43)-H36)*Num_Periods</f>
        <v>1353.916</v>
      </c>
      <c r="I235" s="289">
        <f>(+I39+SUM(I42:I43)-I36)*Num_Periods</f>
        <v>1469.496</v>
      </c>
      <c r="J235" s="289">
        <f>(+J39+SUM(J42:J43)-J36)*Num_Periods</f>
        <v>1386.004</v>
      </c>
      <c r="K235" s="289">
        <f>(+K39+SUM(K42:K43)-K36)*Num_Periods</f>
        <v>1329.618862596</v>
      </c>
      <c r="L235" s="289">
        <f>(+L39+SUM(L42:L43)-L36)*Num_Periods</f>
        <v>1429.187352192</v>
      </c>
      <c r="M235" s="289">
        <f>(+M39+SUM(M42:M43)-M36)*Num_Periods</f>
        <v>1429.594407168</v>
      </c>
      <c r="N235" s="289">
        <f>(+N39+SUM(N42:N43)-N36)*Num_Periods</f>
        <v>1538.3498654</v>
      </c>
      <c r="O235" s="289">
        <f>(+O39+SUM(O42:O43)-O36)*Num_Periods</f>
        <v>1474.0826935334</v>
      </c>
      <c r="P235" s="289">
        <f>(+P39+SUM(P42:P43)-P36)*Num_Periods</f>
        <v>1587.48618873542</v>
      </c>
      <c r="Q235" s="289">
        <f>(+Q39+SUM(Q42:Q43)-Q36)*Num_Periods</f>
        <v>1587.85926091066</v>
      </c>
      <c r="R235" s="289">
        <f>(+R39+SUM(R42:R43)-R36)*Num_Periods</f>
        <v>1737.3140886502</v>
      </c>
      <c r="S235" s="289">
        <f>(+S39+SUM(S42:S43)-S36)*Num_Periods</f>
        <v>1655.63646661987</v>
      </c>
      <c r="T235" s="289">
        <f>(+T39+SUM(T42:T43)-T36)*Num_Periods</f>
        <v>1776.53852762922</v>
      </c>
      <c r="U235" s="289">
        <f>(+U39+SUM(U42:U43)-U36)*Num_Periods</f>
        <v>1781.81606994519</v>
      </c>
      <c r="W235" s="289">
        <f t="shared" ref="W235:Z235" si="254">+W39+SUM(W42:W43)-W36</f>
        <v>1343.272</v>
      </c>
      <c r="X235" s="289">
        <f t="shared" si="254"/>
        <v>1393.601155489</v>
      </c>
      <c r="Y235" s="289">
        <f t="shared" si="254"/>
        <v>1546.94450214487</v>
      </c>
      <c r="Z235" s="289">
        <f t="shared" si="254"/>
        <v>1737.82628821112</v>
      </c>
    </row>
    <row r="236" outlineLevel="1" spans="3:26">
      <c r="C236" s="344" t="s">
        <v>319</v>
      </c>
      <c r="D236" s="736" t="s">
        <v>56</v>
      </c>
      <c r="F236" s="345"/>
      <c r="G236" s="345"/>
      <c r="H236" s="345"/>
      <c r="I236" s="345"/>
      <c r="J236" s="345">
        <f t="shared" ref="J236:U236" si="255">+J235/F235-1</f>
        <v>0.0944821203516228</v>
      </c>
      <c r="K236" s="345">
        <f t="shared" si="255"/>
        <v>0.0360774106193311</v>
      </c>
      <c r="L236" s="345">
        <f t="shared" si="255"/>
        <v>0.0555952896575562</v>
      </c>
      <c r="M236" s="345">
        <f t="shared" si="255"/>
        <v>-0.027153250387888</v>
      </c>
      <c r="N236" s="345">
        <f t="shared" si="255"/>
        <v>0.109917334582007</v>
      </c>
      <c r="O236" s="345">
        <f t="shared" si="255"/>
        <v>0.108650557690906</v>
      </c>
      <c r="P236" s="345">
        <f t="shared" si="255"/>
        <v>0.110761431173201</v>
      </c>
      <c r="Q236" s="345">
        <f t="shared" si="255"/>
        <v>0.110706122624091</v>
      </c>
      <c r="R236" s="345">
        <f t="shared" si="255"/>
        <v>0.129336133297913</v>
      </c>
      <c r="S236" s="345">
        <f t="shared" si="255"/>
        <v>0.123163899747903</v>
      </c>
      <c r="T236" s="345">
        <f t="shared" si="255"/>
        <v>0.119089123568622</v>
      </c>
      <c r="U236" s="345">
        <f t="shared" si="255"/>
        <v>0.122149874242192</v>
      </c>
      <c r="X236" s="345">
        <f t="shared" ref="X236:Z236" si="256">+X235/W235-1</f>
        <v>0.0374675832511953</v>
      </c>
      <c r="Y236" s="345">
        <f t="shared" si="256"/>
        <v>0.110033883117774</v>
      </c>
      <c r="Z236" s="345">
        <f t="shared" si="256"/>
        <v>0.123392782224305</v>
      </c>
    </row>
    <row r="237" outlineLevel="1"/>
    <row r="238" outlineLevel="1" spans="3:25">
      <c r="C238" s="346" t="s">
        <v>320</v>
      </c>
      <c r="D238" s="736" t="s">
        <v>56</v>
      </c>
      <c r="F238" s="345">
        <f t="shared" ref="F238:T238" si="257">+G235/F113</f>
        <v>0.115584091813031</v>
      </c>
      <c r="G238" s="345">
        <f t="shared" si="257"/>
        <v>0.123300213848985</v>
      </c>
      <c r="H238" s="345">
        <f t="shared" si="257"/>
        <v>0.127650558793037</v>
      </c>
      <c r="I238" s="345">
        <f t="shared" si="257"/>
        <v>0.119912420927028</v>
      </c>
      <c r="J238" s="345">
        <f t="shared" si="257"/>
        <v>0.112024458882274</v>
      </c>
      <c r="K238" s="345">
        <f t="shared" si="257"/>
        <v>0.118474441208355</v>
      </c>
      <c r="L238" s="345">
        <f t="shared" si="257"/>
        <v>0.116648223926149</v>
      </c>
      <c r="M238" s="345">
        <f t="shared" si="257"/>
        <v>0.123522690076884</v>
      </c>
      <c r="N238" s="345">
        <f t="shared" si="257"/>
        <v>0.116316901933154</v>
      </c>
      <c r="O238" s="345">
        <f t="shared" si="257"/>
        <v>0.123254634570408</v>
      </c>
      <c r="P238" s="345">
        <f t="shared" si="257"/>
        <v>0.121262552530077</v>
      </c>
      <c r="Q238" s="345">
        <f t="shared" si="257"/>
        <v>0.13047033687916</v>
      </c>
      <c r="R238" s="345">
        <f t="shared" si="257"/>
        <v>0.122053732748381</v>
      </c>
      <c r="S238" s="345">
        <f t="shared" si="257"/>
        <v>0.128736462233332</v>
      </c>
      <c r="T238" s="345">
        <f t="shared" si="257"/>
        <v>0.126979261624064</v>
      </c>
      <c r="U238" s="345"/>
      <c r="W238" s="345">
        <f t="shared" ref="W238:Y238" si="258">+X235/W113</f>
        <v>0.120569701358285</v>
      </c>
      <c r="X238" s="345">
        <f t="shared" si="258"/>
        <v>0.124212801393457</v>
      </c>
      <c r="Y238" s="345">
        <f t="shared" si="258"/>
        <v>0.130508802490933</v>
      </c>
    </row>
    <row r="239" outlineLevel="1"/>
    <row r="240" outlineLevel="1" spans="3:26">
      <c r="C240" s="11" t="s">
        <v>321</v>
      </c>
      <c r="D240" s="279" t="s">
        <v>65</v>
      </c>
      <c r="F240" s="233"/>
      <c r="G240" s="233"/>
      <c r="H240" s="233"/>
      <c r="I240" s="233"/>
      <c r="J240" s="233"/>
      <c r="K240" s="233">
        <f t="shared" ref="K240:U240" si="259">-K180/K65</f>
        <v>0.897126323024092</v>
      </c>
      <c r="L240" s="233">
        <f t="shared" si="259"/>
        <v>0.980905647091385</v>
      </c>
      <c r="M240" s="233">
        <f t="shared" si="259"/>
        <v>0</v>
      </c>
      <c r="N240" s="233">
        <f t="shared" si="259"/>
        <v>2.03150640475679</v>
      </c>
      <c r="O240" s="233">
        <f t="shared" si="259"/>
        <v>0.99660139166488</v>
      </c>
      <c r="P240" s="233">
        <f t="shared" si="259"/>
        <v>1.08019585496911</v>
      </c>
      <c r="Q240" s="233">
        <f t="shared" si="259"/>
        <v>0</v>
      </c>
      <c r="R240" s="233">
        <f t="shared" si="259"/>
        <v>2.29920114793353</v>
      </c>
      <c r="S240" s="233">
        <f t="shared" si="259"/>
        <v>1.12431921781485</v>
      </c>
      <c r="T240" s="233">
        <f t="shared" si="259"/>
        <v>1.21705576679456</v>
      </c>
      <c r="U240" s="233">
        <f t="shared" si="259"/>
        <v>0</v>
      </c>
      <c r="X240" s="233">
        <f t="shared" ref="X240:Z240" si="260">-X180/X65</f>
        <v>3.71597931987469</v>
      </c>
      <c r="Y240" s="233">
        <f t="shared" si="260"/>
        <v>4.10685152678546</v>
      </c>
      <c r="Z240" s="233">
        <f t="shared" si="260"/>
        <v>4.6387492335283</v>
      </c>
    </row>
    <row r="241" outlineLevel="1" spans="3:26">
      <c r="C241" s="344" t="s">
        <v>322</v>
      </c>
      <c r="D241" s="736" t="s">
        <v>56</v>
      </c>
      <c r="K241" s="345">
        <f>+K240*Num_Periods/Buyer_Share_Price</f>
        <v>0.0304059082536551</v>
      </c>
      <c r="L241" s="345">
        <f>+L240*Num_Periods/Buyer_Share_Price</f>
        <v>0.0332454040702045</v>
      </c>
      <c r="M241" s="345">
        <f>+M240*Num_Periods/Buyer_Share_Price</f>
        <v>0</v>
      </c>
      <c r="N241" s="345">
        <f>+N240*Num_Periods/Buyer_Share_Price</f>
        <v>0.0688529538978747</v>
      </c>
      <c r="O241" s="345">
        <f>+O240*Num_Periods/Buyer_Share_Price</f>
        <v>0.0337773730440563</v>
      </c>
      <c r="P241" s="345">
        <f>+P240*Num_Periods/Buyer_Share_Price</f>
        <v>0.0366106034559943</v>
      </c>
      <c r="Q241" s="345">
        <f>+Q240*Num_Periods/Buyer_Share_Price</f>
        <v>0</v>
      </c>
      <c r="R241" s="345">
        <f>+R240*Num_Periods/Buyer_Share_Price</f>
        <v>0.07792581419873</v>
      </c>
      <c r="S241" s="345">
        <f>+S240*Num_Periods/Buyer_Share_Price</f>
        <v>0.038106057204367</v>
      </c>
      <c r="T241" s="345">
        <f>+T240*Num_Periods/Buyer_Share_Price</f>
        <v>0.0412491363089159</v>
      </c>
      <c r="U241" s="345">
        <f>+U240*Num_Periods/Buyer_Share_Price</f>
        <v>0</v>
      </c>
      <c r="X241" s="345">
        <f>+X240/Buyer_Share_Price</f>
        <v>0.0314860135559624</v>
      </c>
      <c r="Y241" s="345">
        <f>+Y240/Buyer_Share_Price</f>
        <v>0.0347979285441914</v>
      </c>
      <c r="Z241" s="345">
        <f>+Z240/Buyer_Share_Price</f>
        <v>0.0393047723566201</v>
      </c>
    </row>
    <row r="242" outlineLevel="1"/>
    <row r="243" outlineLevel="1" spans="3:26">
      <c r="C243" s="11" t="s">
        <v>506</v>
      </c>
      <c r="D243" s="279" t="s">
        <v>58</v>
      </c>
      <c r="F243" s="347"/>
      <c r="G243" s="347"/>
      <c r="H243" s="347"/>
      <c r="I243" s="347"/>
      <c r="J243" s="351">
        <f>Buyer_Ent_Value/J231</f>
        <v>20.9085943777669</v>
      </c>
      <c r="K243" s="351">
        <f>Buyer_Ent_Value/K231</f>
        <v>21.9308094364543</v>
      </c>
      <c r="L243" s="351">
        <f>Buyer_Ent_Value/L231</f>
        <v>20.948634156643</v>
      </c>
      <c r="M243" s="351">
        <f>Buyer_Ent_Value/M231</f>
        <v>20.5915215328116</v>
      </c>
      <c r="N243" s="351">
        <f>Buyer_Ent_Value/N231</f>
        <v>18.7349380610315</v>
      </c>
      <c r="O243" s="351">
        <f>Buyer_Ent_Value/O231</f>
        <v>19.7837381180974</v>
      </c>
      <c r="P243" s="351">
        <f>Buyer_Ent_Value/P231</f>
        <v>18.8608650257745</v>
      </c>
      <c r="Q243" s="351">
        <f>Buyer_Ent_Value/Q231</f>
        <v>18.5415826106932</v>
      </c>
      <c r="R243" s="351">
        <f>Buyer_Ent_Value/R231</f>
        <v>16.5962887150614</v>
      </c>
      <c r="S243" s="351">
        <f>Buyer_Ent_Value/S231</f>
        <v>17.6242470603793</v>
      </c>
      <c r="T243" s="351">
        <f>Buyer_Ent_Value/T231</f>
        <v>16.8637967180757</v>
      </c>
      <c r="U243" s="351">
        <f>Buyer_Ent_Value/U231</f>
        <v>16.5298164092239</v>
      </c>
      <c r="W243" s="351">
        <f>Buyer_Ent_Value/W231</f>
        <v>21.9248630623383</v>
      </c>
      <c r="X243" s="351">
        <f>Buyer_Ent_Value/X231</f>
        <v>21.0831843400136</v>
      </c>
      <c r="Y243" s="351">
        <f>Buyer_Ent_Value/Y231</f>
        <v>18.9685435507276</v>
      </c>
      <c r="Z243" s="351">
        <f>Buyer_Ent_Value/Z231</f>
        <v>16.8926184755293</v>
      </c>
    </row>
    <row r="244" outlineLevel="1" spans="3:26">
      <c r="C244" s="11" t="s">
        <v>507</v>
      </c>
      <c r="D244" s="279" t="s">
        <v>58</v>
      </c>
      <c r="F244" s="347"/>
      <c r="G244" s="347"/>
      <c r="H244" s="347"/>
      <c r="I244" s="347"/>
      <c r="J244" s="351">
        <f>Buyer_Eq_Value/(J206*Num_Periods)</f>
        <v>19.6467975691929</v>
      </c>
      <c r="K244" s="351">
        <f>Buyer_Eq_Value/(K206*Num_Periods)</f>
        <v>21.39595424347</v>
      </c>
      <c r="L244" s="351">
        <f>Buyer_Eq_Value/(L206*Num_Periods)</f>
        <v>20.2943243716382</v>
      </c>
      <c r="M244" s="351">
        <f>Buyer_Eq_Value/(M206*Num_Periods)</f>
        <v>20.063776678857</v>
      </c>
      <c r="N244" s="351">
        <f>Buyer_Eq_Value/(N206*Num_Periods)</f>
        <v>17.7353611381878</v>
      </c>
      <c r="O244" s="351">
        <f>Buyer_Eq_Value/(O206*Num_Periods)</f>
        <v>19.4123676691258</v>
      </c>
      <c r="P244" s="351">
        <f>Buyer_Eq_Value/(P206*Num_Periods)</f>
        <v>18.1979254262574</v>
      </c>
      <c r="Q244" s="351">
        <f>Buyer_Eq_Value/(Q206*Num_Periods)</f>
        <v>17.9952715425372</v>
      </c>
      <c r="R244" s="351">
        <f>Buyer_Eq_Value/(R206*Num_Periods)</f>
        <v>15.6762969684362</v>
      </c>
      <c r="S244" s="351">
        <f>Buyer_Eq_Value/(S206*Num_Periods)</f>
        <v>17.1632560483486</v>
      </c>
      <c r="T244" s="351">
        <f>Buyer_Eq_Value/(T206*Num_Periods)</f>
        <v>16.2787941166029</v>
      </c>
      <c r="U244" s="351">
        <f>Buyer_Eq_Value/(U206*Num_Periods)</f>
        <v>15.9373280641086</v>
      </c>
      <c r="W244" s="351">
        <f>Buyer_Eq_Value/W206</f>
        <v>22.0795566818876</v>
      </c>
      <c r="X244" s="351">
        <f>Buyer_Eq_Value/X206</f>
        <v>20.3300983996144</v>
      </c>
      <c r="Y244" s="351">
        <f>Buyer_Eq_Value/Y206</f>
        <v>18.3133787142055</v>
      </c>
      <c r="Z244" s="351">
        <f>Buyer_Eq_Value/Z206</f>
        <v>16.2449765462568</v>
      </c>
    </row>
    <row r="245" outlineLevel="1" spans="3:26">
      <c r="C245" s="11" t="s">
        <v>508</v>
      </c>
      <c r="D245" s="279" t="s">
        <v>58</v>
      </c>
      <c r="J245" s="351">
        <f>Buyer_Eq_Value/(J214*Num_Periods)</f>
        <v>22.6733168150638</v>
      </c>
      <c r="K245" s="351">
        <f>Buyer_Eq_Value/(K214*Num_Periods)</f>
        <v>23.8636518711224</v>
      </c>
      <c r="L245" s="351">
        <f>Buyer_Eq_Value/(L214*Num_Periods)</f>
        <v>22.1110686338061</v>
      </c>
      <c r="M245" s="351">
        <f>Buyer_Eq_Value/(M214*Num_Periods)</f>
        <v>22.4489519131299</v>
      </c>
      <c r="N245" s="351">
        <f>Buyer_Eq_Value/(N214*Num_Periods)</f>
        <v>20.4744859457548</v>
      </c>
      <c r="O245" s="351">
        <f>Buyer_Eq_Value/(O214*Num_Periods)</f>
        <v>21.4303573491834</v>
      </c>
      <c r="P245" s="351">
        <f>Buyer_Eq_Value/(P214*Num_Periods)</f>
        <v>20.029533561877</v>
      </c>
      <c r="Q245" s="351">
        <f>Buyer_Eq_Value/(Q214*Num_Periods)</f>
        <v>20.1057928450811</v>
      </c>
      <c r="R245" s="351">
        <f>Buyer_Eq_Value/(R214*Num_Periods)</f>
        <v>18.0457933327446</v>
      </c>
      <c r="S245" s="351">
        <f>Buyer_Eq_Value/(S214*Num_Periods)</f>
        <v>18.9463792467967</v>
      </c>
      <c r="T245" s="351">
        <f>Buyer_Eq_Value/(T214*Num_Periods)</f>
        <v>17.7302650578713</v>
      </c>
      <c r="U245" s="351">
        <f>Buyer_Eq_Value/(U214*Num_Periods)</f>
        <v>17.9924966807412</v>
      </c>
      <c r="W245" s="351">
        <f>Buyer_Eq_Value/W214</f>
        <v>24.7454007420936</v>
      </c>
      <c r="X245" s="351">
        <f>Buyer_Eq_Value/X214</f>
        <v>22.7555660535238</v>
      </c>
      <c r="Y245" s="351">
        <f>Buyer_Eq_Value/Y214</f>
        <v>20.4952432427284</v>
      </c>
      <c r="Z245" s="351">
        <f>Buyer_Eq_Value/Z214</f>
        <v>18.16740237225</v>
      </c>
    </row>
    <row r="246" outlineLevel="1"/>
    <row r="247" outlineLevel="1" spans="3:26">
      <c r="C247" s="11" t="s">
        <v>323</v>
      </c>
      <c r="D247" s="279" t="s">
        <v>58</v>
      </c>
      <c r="F247" s="348">
        <f>-F231/(F53*Num_Periods)</f>
        <v>4.96038697417293</v>
      </c>
      <c r="G247" s="348">
        <f>-G231/(G53*Num_Periods)</f>
        <v>4.55280387133504</v>
      </c>
      <c r="H247" s="348">
        <f>-H231/(H53*Num_Periods)</f>
        <v>4.6846115831593</v>
      </c>
      <c r="I247" s="348">
        <f>-I231/(I53*Num_Periods)</f>
        <v>5.73360025176586</v>
      </c>
      <c r="J247" s="348">
        <f>-J231/(J53*Num_Periods)</f>
        <v>5.67368306840992</v>
      </c>
      <c r="K247" s="348">
        <f>-K231/(K53*Num_Periods)</f>
        <v>5.07743238403713</v>
      </c>
      <c r="L247" s="348">
        <f>-L231/(L53*Num_Periods)</f>
        <v>5.00461144189742</v>
      </c>
      <c r="M247" s="348">
        <f>-M231/(M53*Num_Periods)</f>
        <v>4.90093269082432</v>
      </c>
      <c r="N247" s="348">
        <f>-N231/(N53*Num_Periods)</f>
        <v>5.38660233117488</v>
      </c>
      <c r="O247" s="348">
        <f>-O231/(O53*Num_Periods)</f>
        <v>4.85088473150541</v>
      </c>
      <c r="P247" s="348">
        <f>-P231/(P53*Num_Periods)</f>
        <v>4.97072950090409</v>
      </c>
      <c r="Q247" s="348">
        <f>-Q231/(Q53*Num_Periods)</f>
        <v>4.870014576272</v>
      </c>
      <c r="R247" s="348">
        <f>-R231/(R53*Num_Periods)</f>
        <v>5.31431037261624</v>
      </c>
      <c r="S247" s="348">
        <f>-S231/(S53*Num_Periods)</f>
        <v>4.88111351767372</v>
      </c>
      <c r="T247" s="348">
        <f>-T231/(T53*Num_Periods)</f>
        <v>4.86160035418383</v>
      </c>
      <c r="U247" s="348">
        <f>-U231/(U53*Num_Periods)</f>
        <v>4.89414580984095</v>
      </c>
      <c r="W247" s="348">
        <f t="shared" ref="W247:Z247" si="261">-W231/W53</f>
        <v>4.96516818506165</v>
      </c>
      <c r="X247" s="348">
        <f t="shared" si="261"/>
        <v>5.14750341842368</v>
      </c>
      <c r="Y247" s="348">
        <f t="shared" si="261"/>
        <v>5.01248743005639</v>
      </c>
      <c r="Z247" s="348">
        <f t="shared" si="261"/>
        <v>4.98285254418485</v>
      </c>
    </row>
    <row r="248" outlineLevel="1" spans="3:26">
      <c r="C248" s="11" t="s">
        <v>324</v>
      </c>
      <c r="D248" s="279" t="s">
        <v>58</v>
      </c>
      <c r="E248" s="349">
        <v>1.5</v>
      </c>
      <c r="F248" s="348"/>
      <c r="G248" s="348"/>
      <c r="H248" s="348"/>
      <c r="I248" s="348"/>
      <c r="J248" s="348"/>
      <c r="K248" s="348"/>
      <c r="L248" s="348"/>
      <c r="M248" s="348"/>
      <c r="N248" s="348"/>
      <c r="O248" s="348"/>
      <c r="W248" s="348"/>
      <c r="X248" s="348"/>
      <c r="Y248" s="348"/>
      <c r="Z248" s="348"/>
    </row>
    <row r="249" outlineLevel="1" spans="4:26">
      <c r="D249" s="279"/>
      <c r="F249" s="348"/>
      <c r="G249" s="348"/>
      <c r="H249" s="348"/>
      <c r="I249" s="348"/>
      <c r="J249" s="348"/>
      <c r="K249" s="348"/>
      <c r="L249" s="348"/>
      <c r="M249" s="348"/>
      <c r="N249" s="348"/>
      <c r="O249" s="348"/>
      <c r="W249" s="348"/>
      <c r="X249" s="348"/>
      <c r="Y249" s="348"/>
      <c r="Z249" s="348"/>
    </row>
    <row r="250" outlineLevel="1" spans="3:26">
      <c r="C250" s="11" t="s">
        <v>325</v>
      </c>
      <c r="D250" s="279" t="s">
        <v>58</v>
      </c>
      <c r="F250" s="348">
        <f>-F231/((F53+F61)*Num_Periods)</f>
        <v>3.57534024829098</v>
      </c>
      <c r="G250" s="348">
        <f>-G231/((G53+G61)*Num_Periods)</f>
        <v>3.3609470218777</v>
      </c>
      <c r="H250" s="348">
        <f>-H231/((H53+H61)*Num_Periods)</f>
        <v>3.48759182995288</v>
      </c>
      <c r="I250" s="348">
        <f>-I231/((I53+I61)*Num_Periods)</f>
        <v>4.3966134416603</v>
      </c>
      <c r="J250" s="348">
        <f>-J231/((J53+J61)*Num_Periods)</f>
        <v>4.31614207890827</v>
      </c>
      <c r="K250" s="348">
        <f>-K231/((K53+K61)*Num_Periods)</f>
        <v>3.90301469887185</v>
      </c>
      <c r="L250" s="348">
        <f>-L231/((L53+L61)*Num_Periods)</f>
        <v>3.89979239908049</v>
      </c>
      <c r="M250" s="348">
        <f>-M231/((M53+M61)*Num_Periods)</f>
        <v>3.8508046605464</v>
      </c>
      <c r="N250" s="348">
        <f>-N231/((N53+N61)*Num_Periods)</f>
        <v>4.23240935347542</v>
      </c>
      <c r="O250" s="348">
        <f>-O231/((O53+O61)*Num_Periods)</f>
        <v>3.85195653283248</v>
      </c>
      <c r="P250" s="348">
        <f>-P231/((P53+P61)*Num_Periods)</f>
        <v>3.96598361092567</v>
      </c>
      <c r="Q250" s="348">
        <f>-Q231/((Q53+Q61)*Num_Periods)</f>
        <v>3.91478358173495</v>
      </c>
      <c r="R250" s="348">
        <f>-R231/((R53+R61)*Num_Periods)</f>
        <v>4.29150860506076</v>
      </c>
      <c r="S250" s="348">
        <f>-S231/((S53+S61)*Num_Periods)</f>
        <v>3.9604557334684</v>
      </c>
      <c r="T250" s="348">
        <f>-T231/((T53+T61)*Num_Periods)</f>
        <v>3.97988447019294</v>
      </c>
      <c r="U250" s="348">
        <f>-U231/((U53+U61)*Num_Periods)</f>
        <v>4.01617322280272</v>
      </c>
      <c r="W250" s="348">
        <f t="shared" ref="W250:Z250" si="262">-W231/(W53+W61)</f>
        <v>3.68463279097332</v>
      </c>
      <c r="X250" s="348">
        <f t="shared" si="262"/>
        <v>3.98450026023388</v>
      </c>
      <c r="Y250" s="348">
        <f t="shared" si="262"/>
        <v>3.98788854231556</v>
      </c>
      <c r="Z250" s="348">
        <f t="shared" si="262"/>
        <v>4.05949378105973</v>
      </c>
    </row>
    <row r="251" outlineLevel="1" spans="3:26">
      <c r="C251" s="11" t="s">
        <v>324</v>
      </c>
      <c r="D251" s="279" t="s">
        <v>58</v>
      </c>
      <c r="E251" s="349">
        <v>1.5</v>
      </c>
      <c r="F251" s="348"/>
      <c r="G251" s="348"/>
      <c r="H251" s="348"/>
      <c r="I251" s="348"/>
      <c r="J251" s="348"/>
      <c r="K251" s="348"/>
      <c r="L251" s="348"/>
      <c r="M251" s="348"/>
      <c r="N251" s="348"/>
      <c r="O251" s="348"/>
      <c r="W251" s="348"/>
      <c r="X251" s="348"/>
      <c r="Y251" s="348"/>
      <c r="Z251" s="348"/>
    </row>
    <row r="252" outlineLevel="1" spans="4:26">
      <c r="D252" s="279"/>
      <c r="F252" s="348"/>
      <c r="G252" s="348"/>
      <c r="H252" s="348"/>
      <c r="I252" s="348"/>
      <c r="J252" s="348"/>
      <c r="K252" s="348"/>
      <c r="L252" s="348"/>
      <c r="M252" s="348"/>
      <c r="N252" s="348"/>
      <c r="O252" s="348"/>
      <c r="W252" s="348"/>
      <c r="X252" s="348"/>
      <c r="Y252" s="348"/>
      <c r="Z252" s="348"/>
    </row>
    <row r="253" outlineLevel="1" spans="3:26">
      <c r="C253" s="11" t="s">
        <v>326</v>
      </c>
      <c r="D253" s="279" t="s">
        <v>58</v>
      </c>
      <c r="F253" s="348">
        <f t="shared" ref="F253:U253" si="263">+F128/F231</f>
        <v>5.36053975175181</v>
      </c>
      <c r="G253" s="348">
        <f t="shared" si="263"/>
        <v>5.32787121559474</v>
      </c>
      <c r="H253" s="348">
        <f t="shared" si="263"/>
        <v>5.12571164598228</v>
      </c>
      <c r="I253" s="348">
        <f t="shared" si="263"/>
        <v>4.45098554914176</v>
      </c>
      <c r="J253" s="348">
        <f t="shared" si="263"/>
        <v>4.94131375717532</v>
      </c>
      <c r="K253" s="348">
        <f t="shared" si="263"/>
        <v>5.36369380247122</v>
      </c>
      <c r="L253" s="348">
        <f t="shared" si="263"/>
        <v>5.18953618772229</v>
      </c>
      <c r="M253" s="348">
        <f t="shared" si="263"/>
        <v>5.10106985284777</v>
      </c>
      <c r="N253" s="348">
        <f t="shared" si="263"/>
        <v>4.76144854538153</v>
      </c>
      <c r="O253" s="348">
        <f t="shared" si="263"/>
        <v>5.1468648039669</v>
      </c>
      <c r="P253" s="348">
        <f t="shared" si="263"/>
        <v>4.97319233018148</v>
      </c>
      <c r="Q253" s="348">
        <f t="shared" si="263"/>
        <v>4.88900462958162</v>
      </c>
      <c r="R253" s="348">
        <f t="shared" si="263"/>
        <v>4.48655551191091</v>
      </c>
      <c r="S253" s="348">
        <f t="shared" si="263"/>
        <v>4.88566047022499</v>
      </c>
      <c r="T253" s="348">
        <f t="shared" si="263"/>
        <v>4.73759299485221</v>
      </c>
      <c r="U253" s="348">
        <f t="shared" si="263"/>
        <v>4.6437669841331</v>
      </c>
      <c r="W253" s="348">
        <f t="shared" ref="W253:Z253" si="264">+W128/W231</f>
        <v>4.87841737799376</v>
      </c>
      <c r="X253" s="348">
        <f t="shared" si="264"/>
        <v>5.22286786178014</v>
      </c>
      <c r="Y253" s="348">
        <f t="shared" si="264"/>
        <v>5.00158477208117</v>
      </c>
      <c r="Z253" s="348">
        <f t="shared" si="264"/>
        <v>4.74568997078795</v>
      </c>
    </row>
    <row r="254" outlineLevel="1" spans="3:26">
      <c r="C254" s="11" t="s">
        <v>327</v>
      </c>
      <c r="D254" s="279" t="s">
        <v>58</v>
      </c>
      <c r="F254" s="348">
        <f t="shared" ref="F254:U254" si="265">(F128-F117)/F231</f>
        <v>5.31636755917139</v>
      </c>
      <c r="G254" s="348">
        <f t="shared" si="265"/>
        <v>5.28311658538619</v>
      </c>
      <c r="H254" s="348">
        <f t="shared" si="265"/>
        <v>5.08476541630227</v>
      </c>
      <c r="I254" s="348">
        <f t="shared" si="265"/>
        <v>4.43418669325698</v>
      </c>
      <c r="J254" s="348">
        <f t="shared" si="265"/>
        <v>4.92107703928937</v>
      </c>
      <c r="K254" s="348">
        <f t="shared" si="265"/>
        <v>5.28659295320866</v>
      </c>
      <c r="L254" s="348">
        <f t="shared" si="265"/>
        <v>5.10675610218703</v>
      </c>
      <c r="M254" s="348">
        <f t="shared" si="265"/>
        <v>4.92076843417118</v>
      </c>
      <c r="N254" s="348">
        <f t="shared" si="265"/>
        <v>4.68687279387415</v>
      </c>
      <c r="O254" s="348">
        <f t="shared" si="265"/>
        <v>5.06955850388453</v>
      </c>
      <c r="P254" s="348">
        <f t="shared" si="265"/>
        <v>4.89030590747654</v>
      </c>
      <c r="Q254" s="348">
        <f t="shared" si="265"/>
        <v>4.7065095952919</v>
      </c>
      <c r="R254" s="348">
        <f t="shared" si="265"/>
        <v>4.41110202311222</v>
      </c>
      <c r="S254" s="348">
        <f t="shared" si="265"/>
        <v>4.80730152806028</v>
      </c>
      <c r="T254" s="348">
        <f t="shared" si="265"/>
        <v>4.6537636383838</v>
      </c>
      <c r="U254" s="348">
        <f t="shared" si="265"/>
        <v>4.45508217516069</v>
      </c>
      <c r="W254" s="348">
        <f t="shared" ref="W254:Z254" si="266">(W128-W117)/W231</f>
        <v>4.86000531406456</v>
      </c>
      <c r="X254" s="348">
        <f t="shared" si="266"/>
        <v>5.03826139446945</v>
      </c>
      <c r="Y254" s="348">
        <f t="shared" si="266"/>
        <v>4.81488738608134</v>
      </c>
      <c r="Z254" s="348">
        <f t="shared" si="266"/>
        <v>4.55286384306881</v>
      </c>
    </row>
    <row r="255" outlineLevel="1" spans="3:26">
      <c r="C255" s="11" t="s">
        <v>328</v>
      </c>
      <c r="D255" s="279" t="s">
        <v>58</v>
      </c>
      <c r="F255" s="348">
        <f t="shared" ref="F255:U255" si="267">(F134+F128-F117)/F231</f>
        <v>6.43966189766379</v>
      </c>
      <c r="G255" s="348">
        <f t="shared" si="267"/>
        <v>6.40344382615703</v>
      </c>
      <c r="H255" s="348">
        <f t="shared" si="267"/>
        <v>5.94653424578287</v>
      </c>
      <c r="I255" s="348">
        <f t="shared" si="267"/>
        <v>5.20640423981289</v>
      </c>
      <c r="J255" s="348">
        <f t="shared" si="267"/>
        <v>5.72821985089992</v>
      </c>
      <c r="K255" s="348">
        <f t="shared" si="267"/>
        <v>6.133196740609</v>
      </c>
      <c r="L255" s="348">
        <f t="shared" si="267"/>
        <v>5.91544458535802</v>
      </c>
      <c r="M255" s="348">
        <f t="shared" si="267"/>
        <v>5.71567115623106</v>
      </c>
      <c r="N255" s="348">
        <f t="shared" si="267"/>
        <v>5.410105083368</v>
      </c>
      <c r="O255" s="348">
        <f t="shared" si="267"/>
        <v>5.83327804046839</v>
      </c>
      <c r="P255" s="348">
        <f t="shared" si="267"/>
        <v>5.61839940583713</v>
      </c>
      <c r="Q255" s="348">
        <f t="shared" si="267"/>
        <v>5.42227770718458</v>
      </c>
      <c r="R255" s="348">
        <f t="shared" si="267"/>
        <v>5.05177517855013</v>
      </c>
      <c r="S255" s="348">
        <f t="shared" si="267"/>
        <v>5.48765736967343</v>
      </c>
      <c r="T255" s="348">
        <f t="shared" si="267"/>
        <v>5.30476351200181</v>
      </c>
      <c r="U255" s="348">
        <f t="shared" si="267"/>
        <v>5.0931892736529</v>
      </c>
      <c r="W255" s="348">
        <f t="shared" ref="W255:Z255" si="268">(W134+W128-W117)/W231</f>
        <v>5.70637955121221</v>
      </c>
      <c r="X255" s="348">
        <f t="shared" si="268"/>
        <v>5.85214397205665</v>
      </c>
      <c r="Y255" s="348">
        <f t="shared" si="268"/>
        <v>5.54713764150606</v>
      </c>
      <c r="Z255" s="348">
        <f t="shared" si="268"/>
        <v>5.20497633449011</v>
      </c>
    </row>
    <row r="256" outlineLevel="1"/>
    <row r="257" outlineLevel="1" spans="3:5">
      <c r="C257" s="11" t="s">
        <v>329</v>
      </c>
      <c r="D257" s="736" t="s">
        <v>56</v>
      </c>
      <c r="E257" s="350">
        <v>0.0825</v>
      </c>
    </row>
    <row r="258" outlineLevel="1" spans="3:26">
      <c r="C258" s="11" t="s">
        <v>330</v>
      </c>
      <c r="D258" s="181" t="s">
        <v>48</v>
      </c>
      <c r="F258" s="309">
        <f>+F231/$E$257</f>
        <v>13921.5515151515</v>
      </c>
      <c r="G258" s="309">
        <f>+G231/$E$257</f>
        <v>13958.4</v>
      </c>
      <c r="H258" s="309">
        <f>+H231/$E$257</f>
        <v>14247.8060606061</v>
      </c>
      <c r="I258" s="309">
        <f>+I231/$E$257</f>
        <v>15900.0727272727</v>
      </c>
      <c r="J258" s="309">
        <f>+J231/$E$257</f>
        <v>15212.0727272727</v>
      </c>
      <c r="K258" s="309">
        <f>+K231/$E$257</f>
        <v>14503.0241232655</v>
      </c>
      <c r="L258" s="309">
        <f>+L231/$E$257</f>
        <v>15182.9974174605</v>
      </c>
      <c r="M258" s="309">
        <f>+M231/$E$257</f>
        <v>15446.3116187319</v>
      </c>
      <c r="N258" s="309">
        <f>+N231/$E$257</f>
        <v>16977.0007919698</v>
      </c>
      <c r="O258" s="309">
        <f>+O231/$E$257</f>
        <v>16076.994974407</v>
      </c>
      <c r="P258" s="309">
        <f>+P231/$E$257</f>
        <v>16863.6516864409</v>
      </c>
      <c r="Q258" s="309">
        <f>+Q231/$E$257</f>
        <v>17154.0404601819</v>
      </c>
      <c r="R258" s="309">
        <f>+R231/$E$257</f>
        <v>19164.7098794436</v>
      </c>
      <c r="S258" s="309">
        <f>+S231/$E$257</f>
        <v>18046.9019306174</v>
      </c>
      <c r="T258" s="309">
        <f>+T231/$E$257</f>
        <v>18860.7028189989</v>
      </c>
      <c r="U258" s="309">
        <f>+U231/$E$257</f>
        <v>19241.77803464</v>
      </c>
      <c r="W258" s="309">
        <f>+W231/$E$257</f>
        <v>14506.9575757576</v>
      </c>
      <c r="X258" s="309">
        <f>+X231/$E$257</f>
        <v>15086.1014716827</v>
      </c>
      <c r="Y258" s="309">
        <f>+Y231/$E$257</f>
        <v>16767.9219782499</v>
      </c>
      <c r="Z258" s="309">
        <f>+Z231/$E$257</f>
        <v>18828.523165925</v>
      </c>
    </row>
    <row r="259" outlineLevel="1"/>
    <row r="260" outlineLevel="1" spans="3:26">
      <c r="C260" s="11" t="s">
        <v>331</v>
      </c>
      <c r="D260" s="736" t="s">
        <v>56</v>
      </c>
      <c r="F260" s="194">
        <f t="shared" ref="F260:U260" si="269">+F128/F258</f>
        <v>0.442244529519524</v>
      </c>
      <c r="G260" s="194">
        <f t="shared" si="269"/>
        <v>0.439549375286566</v>
      </c>
      <c r="H260" s="194">
        <f t="shared" si="269"/>
        <v>0.422871210793539</v>
      </c>
      <c r="I260" s="194">
        <f t="shared" si="269"/>
        <v>0.367206307804195</v>
      </c>
      <c r="J260" s="194">
        <f t="shared" si="269"/>
        <v>0.407658384966964</v>
      </c>
      <c r="K260" s="194">
        <f t="shared" si="269"/>
        <v>0.442504738703876</v>
      </c>
      <c r="L260" s="194">
        <f t="shared" si="269"/>
        <v>0.428136735487089</v>
      </c>
      <c r="M260" s="194">
        <f t="shared" si="269"/>
        <v>0.420838262859941</v>
      </c>
      <c r="N260" s="194">
        <f t="shared" si="269"/>
        <v>0.392819504993976</v>
      </c>
      <c r="O260" s="194">
        <f t="shared" si="269"/>
        <v>0.424616346327269</v>
      </c>
      <c r="P260" s="194">
        <f t="shared" si="269"/>
        <v>0.410288367239972</v>
      </c>
      <c r="Q260" s="194">
        <f t="shared" si="269"/>
        <v>0.403342881940484</v>
      </c>
      <c r="R260" s="194">
        <f t="shared" si="269"/>
        <v>0.37014082973265</v>
      </c>
      <c r="S260" s="194">
        <f t="shared" si="269"/>
        <v>0.403066988793562</v>
      </c>
      <c r="T260" s="194">
        <f t="shared" si="269"/>
        <v>0.390851422075307</v>
      </c>
      <c r="U260" s="194">
        <f t="shared" si="269"/>
        <v>0.38311077619098</v>
      </c>
      <c r="W260" s="194">
        <f t="shared" ref="W260:Z260" si="270">+W128/W258</f>
        <v>0.402469433684485</v>
      </c>
      <c r="X260" s="194">
        <f t="shared" si="270"/>
        <v>0.430886598596862</v>
      </c>
      <c r="Y260" s="194">
        <f t="shared" si="270"/>
        <v>0.412630743696697</v>
      </c>
      <c r="Z260" s="194">
        <f t="shared" si="270"/>
        <v>0.391519422590006</v>
      </c>
    </row>
    <row r="261" outlineLevel="1" spans="3:5">
      <c r="C261" s="11" t="s">
        <v>332</v>
      </c>
      <c r="D261" s="736" t="s">
        <v>56</v>
      </c>
      <c r="E261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106" max="26" man="1"/>
    <brk id="151" max="26" man="1"/>
    <brk id="227" max="2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15" width="13.75" style="11" customWidth="1"/>
    <col min="16" max="16" width="2.375" style="11" customWidth="1"/>
    <col min="17" max="20" width="13.75" style="11" customWidth="1"/>
    <col min="21" max="16384" width="8" style="11"/>
  </cols>
  <sheetData>
    <row r="2" ht="18.75" spans="2:10">
      <c r="B2" s="171" t="str">
        <f>Buyer_Name&amp;" - Net Asset Value (NAV) Model"</f>
        <v>Digital Realty Trust,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'DLR-Op-Model'!J235</f>
        <v>1386.004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'DLR-Op-Model'!J161*Num_Periods</f>
        <v>0.516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'DLR-Op-Model'!J162*Num_Periods</f>
        <v>-7.892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-0.542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-11.066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51.027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1418.047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0.04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1474.76888</v>
      </c>
      <c r="F20" s="182">
        <v>0.066</v>
      </c>
      <c r="G20" s="194">
        <f>+F20+Buyer_NAV_Cap_Rate_Adj</f>
        <v>0.066</v>
      </c>
      <c r="H20" s="195">
        <f t="shared" ref="H20:H24" si="0">+E20/G20</f>
        <v>22344.983030303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35.097</v>
      </c>
      <c r="F22" s="182">
        <v>0.07</v>
      </c>
      <c r="G22" s="194">
        <f>+F22+Buyer_NAV_Cap_Rate_Adj</f>
        <v>0.07</v>
      </c>
      <c r="H22" s="196">
        <f t="shared" si="0"/>
        <v>501.385714285714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289">
        <f>'DLR-Op-Model'!J36*Num_Periods</f>
        <v>7.58</v>
      </c>
      <c r="F24" s="182">
        <v>0.125</v>
      </c>
      <c r="G24" s="194">
        <f>+F24+Buyer_NAV_Cap_Rate_Adj</f>
        <v>0.125</v>
      </c>
      <c r="H24" s="196">
        <f t="shared" si="0"/>
        <v>60.64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F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'DLR-Op-Model'!J112</f>
        <v>1010.377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-248.698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914.0148</v>
      </c>
    </row>
    <row r="31" outlineLevel="1" spans="6:8">
      <c r="F31" s="197"/>
      <c r="G31" s="197"/>
      <c r="H31" s="309"/>
    </row>
    <row r="32" outlineLevel="1" spans="3:8">
      <c r="C32" s="11" t="s">
        <v>528</v>
      </c>
      <c r="D32" s="181" t="s">
        <v>48</v>
      </c>
      <c r="F32" s="197"/>
      <c r="G32" s="197"/>
      <c r="H32" s="204">
        <v>251.39</v>
      </c>
    </row>
    <row r="33" outlineLevel="1" spans="3:12">
      <c r="C33" s="11" t="s">
        <v>253</v>
      </c>
      <c r="D33" s="181" t="s">
        <v>48</v>
      </c>
      <c r="F33" s="205"/>
      <c r="H33" s="206">
        <f>'DLR-Op-Model'!J117</f>
        <v>25.3969999999995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'DLR-Op-Model'!J118</f>
        <v>195.406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'DLR-Op-Model'!J123</f>
        <v>220.823</v>
      </c>
      <c r="K35" s="205"/>
    </row>
    <row r="36" outlineLevel="1" spans="3:8">
      <c r="C36" s="11" t="s">
        <v>529</v>
      </c>
      <c r="D36" s="181" t="s">
        <v>48</v>
      </c>
      <c r="H36" s="204">
        <v>-0.085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24513.9545445887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-'DLR-Op-Model'!J128</f>
        <v>-6201.329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1.045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-6480.388805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-135.764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-120.369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-'DLR-Op-Model'!J129</f>
        <v>-804.371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-'DLR-Op-Model'!J130</f>
        <v>-174.762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-'DLR-Op-Model'!J134</f>
        <v>-1012.961</v>
      </c>
    </row>
    <row r="52" outlineLevel="1" spans="3:8">
      <c r="C52" s="11" t="s">
        <v>535</v>
      </c>
      <c r="D52" s="181" t="s">
        <v>48</v>
      </c>
      <c r="H52" s="206">
        <f>-'DLR-Op-Model'!J136</f>
        <v>-6.573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15778.7657395888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Buyer_Shares</f>
        <v>159.774915</v>
      </c>
      <c r="G58" s="212"/>
      <c r="H58" s="114">
        <f t="shared" ref="H58:H62" si="1">+F58</f>
        <v>159.774915</v>
      </c>
      <c r="K58" s="208"/>
      <c r="L58" s="225"/>
    </row>
    <row r="59" outlineLevel="1" spans="3:12">
      <c r="C59" s="49" t="str">
        <f>'DLR-Op-Model'!$K$9</f>
        <v>Options A:</v>
      </c>
      <c r="D59" s="9" t="s">
        <v>229</v>
      </c>
      <c r="F59" s="52">
        <f>'DLR-Op-Model'!M9</f>
        <v>0.006</v>
      </c>
      <c r="G59" s="215">
        <f>'DLR-Op-Model'!N9</f>
        <v>41.73</v>
      </c>
      <c r="H59" s="112">
        <f ca="1">IF(G59&lt;$H$65,F59-((F59*G59)/$H$65),0)</f>
        <v>0.00342420848773813</v>
      </c>
      <c r="K59" s="208"/>
      <c r="L59" s="225"/>
    </row>
    <row r="60" outlineLevel="1" spans="3:12">
      <c r="C60" s="51" t="str">
        <f>'DLR-Op-Model'!$K$10</f>
        <v>Incentive Units:</v>
      </c>
      <c r="D60" s="9" t="s">
        <v>229</v>
      </c>
      <c r="F60" s="52">
        <f>'DLR-Op-Model'!M10</f>
        <v>1.534357</v>
      </c>
      <c r="H60" s="114">
        <f t="shared" si="1"/>
        <v>1.534357</v>
      </c>
      <c r="K60" s="208"/>
      <c r="L60" s="225"/>
    </row>
    <row r="61" outlineLevel="1" spans="3:12">
      <c r="C61" s="51" t="str">
        <f>'DLR-Op-Model'!$K$11</f>
        <v>OP Units:</v>
      </c>
      <c r="D61" s="9" t="s">
        <v>229</v>
      </c>
      <c r="F61" s="52">
        <f>'DLR-Op-Model'!M11</f>
        <v>1.011814</v>
      </c>
      <c r="H61" s="114">
        <f t="shared" si="1"/>
        <v>1.011814</v>
      </c>
      <c r="K61" s="208"/>
      <c r="L61" s="225"/>
    </row>
    <row r="62" outlineLevel="1" spans="3:12">
      <c r="C62" s="49" t="str">
        <f>'DLR-Op-Model'!$K$12</f>
        <v>RSUs:</v>
      </c>
      <c r="D62" s="216" t="s">
        <v>229</v>
      </c>
      <c r="E62" s="115"/>
      <c r="F62" s="52">
        <f>'DLR-Op-Model'!M12</f>
        <v>0</v>
      </c>
      <c r="G62" s="217"/>
      <c r="H62" s="218">
        <f t="shared" si="1"/>
        <v>0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162.324510208488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97.2050722304521</v>
      </c>
    </row>
    <row r="66" outlineLevel="1" spans="3:8">
      <c r="C66" s="11" t="s">
        <v>539</v>
      </c>
      <c r="D66" s="181" t="s">
        <v>65</v>
      </c>
      <c r="G66" s="229"/>
      <c r="H66" s="113">
        <f>Buyer_Share_Price</f>
        <v>118.02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-0.176367800114794</v>
      </c>
    </row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outlineLevel="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outlineLevel="1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outlineLevel="1" spans="2:15">
      <c r="B73" s="108"/>
      <c r="C73" s="143"/>
      <c r="D73" s="144">
        <f ca="1">$H$65</f>
        <v>97.2050722304521</v>
      </c>
      <c r="E73" s="352">
        <v>-0.01</v>
      </c>
      <c r="F73" s="353">
        <f t="shared" ref="F73:O73" si="2">+E73+0.2%</f>
        <v>-0.008</v>
      </c>
      <c r="G73" s="353">
        <f t="shared" si="2"/>
        <v>-0.006</v>
      </c>
      <c r="H73" s="353">
        <f t="shared" si="2"/>
        <v>-0.004</v>
      </c>
      <c r="I73" s="353">
        <f t="shared" si="2"/>
        <v>-0.002</v>
      </c>
      <c r="J73" s="354">
        <f t="shared" si="2"/>
        <v>0</v>
      </c>
      <c r="K73" s="353">
        <f t="shared" si="2"/>
        <v>0.002</v>
      </c>
      <c r="L73" s="353">
        <f t="shared" si="2"/>
        <v>0.004</v>
      </c>
      <c r="M73" s="353">
        <f t="shared" si="2"/>
        <v>0.006</v>
      </c>
      <c r="N73" s="353">
        <f t="shared" si="2"/>
        <v>0.008</v>
      </c>
      <c r="O73" s="355">
        <f t="shared" si="2"/>
        <v>0.01</v>
      </c>
    </row>
    <row r="74" outlineLevel="1" spans="2:15">
      <c r="B74" s="108"/>
      <c r="C74" s="143"/>
      <c r="D74" s="232">
        <v>0.06</v>
      </c>
      <c r="E74" s="233">
        <v>125.453335287218</v>
      </c>
      <c r="F74" s="233">
        <v>119.628253071751</v>
      </c>
      <c r="G74" s="233">
        <v>114.19079589596</v>
      </c>
      <c r="H74" s="233">
        <v>109.103505285423</v>
      </c>
      <c r="I74" s="233">
        <v>104.333599519326</v>
      </c>
      <c r="J74" s="228">
        <v>99.8522657634358</v>
      </c>
      <c r="K74" s="233">
        <v>95.6340770017375</v>
      </c>
      <c r="L74" s="233">
        <v>91.6565088326582</v>
      </c>
      <c r="M74" s="233">
        <v>87.8995367275579</v>
      </c>
      <c r="N74" s="233">
        <v>84.3452985411494</v>
      </c>
      <c r="O74" s="233">
        <v>80.9778102633284</v>
      </c>
    </row>
    <row r="75" outlineLevel="1" spans="2:15">
      <c r="B75" s="108"/>
      <c r="C75" s="147" t="s">
        <v>543</v>
      </c>
      <c r="D75" s="234">
        <f t="shared" ref="D75:D82" si="3">+D74-0.5%</f>
        <v>0.055</v>
      </c>
      <c r="E75" s="235">
        <v>124.673358627062</v>
      </c>
      <c r="F75" s="235">
        <v>118.875172153183</v>
      </c>
      <c r="G75" s="235">
        <v>113.462817674679</v>
      </c>
      <c r="H75" s="235">
        <v>108.399010232571</v>
      </c>
      <c r="I75" s="235">
        <v>103.651119936876</v>
      </c>
      <c r="J75" s="242">
        <v>99.1904673804544</v>
      </c>
      <c r="K75" s="243">
        <v>94.9917432770798</v>
      </c>
      <c r="L75" s="243">
        <v>91.0325275001343</v>
      </c>
      <c r="M75" s="243">
        <v>87.2928882098271</v>
      </c>
      <c r="N75" s="243">
        <v>83.755045929304</v>
      </c>
      <c r="O75" s="243">
        <v>80.4030906149534</v>
      </c>
    </row>
    <row r="76" outlineLevel="1" spans="3:15">
      <c r="C76" s="150"/>
      <c r="D76" s="234">
        <f t="shared" si="3"/>
        <v>0.05</v>
      </c>
      <c r="E76" s="197">
        <v>123.893381961395</v>
      </c>
      <c r="F76" s="197">
        <v>118.122091234616</v>
      </c>
      <c r="G76" s="197">
        <v>112.734839453397</v>
      </c>
      <c r="H76" s="197">
        <v>107.694515179718</v>
      </c>
      <c r="I76" s="197">
        <v>102.968640354426</v>
      </c>
      <c r="J76" s="237">
        <v>98.5286689974733</v>
      </c>
      <c r="K76" s="197">
        <v>94.3494095524223</v>
      </c>
      <c r="L76" s="197">
        <v>90.4085461676106</v>
      </c>
      <c r="M76" s="197">
        <v>86.6862396920965</v>
      </c>
      <c r="N76" s="197">
        <v>83.1647933174588</v>
      </c>
      <c r="O76" s="197">
        <v>79.8283709665787</v>
      </c>
    </row>
    <row r="77" outlineLevel="1" spans="3:15">
      <c r="C77" s="150"/>
      <c r="D77" s="234">
        <f t="shared" si="3"/>
        <v>0.045</v>
      </c>
      <c r="E77" s="197">
        <v>123.113405295728</v>
      </c>
      <c r="F77" s="197">
        <v>117.369010316048</v>
      </c>
      <c r="G77" s="197">
        <v>112.006861232116</v>
      </c>
      <c r="H77" s="197">
        <v>106.990020126866</v>
      </c>
      <c r="I77" s="197">
        <v>102.286160771976</v>
      </c>
      <c r="J77" s="237">
        <v>97.8668706144922</v>
      </c>
      <c r="K77" s="197">
        <v>93.7070758277649</v>
      </c>
      <c r="L77" s="197">
        <v>89.7845648350871</v>
      </c>
      <c r="M77" s="197">
        <v>86.0795911743661</v>
      </c>
      <c r="N77" s="197">
        <v>82.5745407056138</v>
      </c>
      <c r="O77" s="197">
        <v>79.2536513182041</v>
      </c>
    </row>
    <row r="78" outlineLevel="1" spans="3:15">
      <c r="C78" s="150"/>
      <c r="D78" s="236">
        <f t="shared" si="3"/>
        <v>0.04</v>
      </c>
      <c r="E78" s="237">
        <v>122.333428630062</v>
      </c>
      <c r="F78" s="237">
        <v>116.615929397481</v>
      </c>
      <c r="G78" s="237">
        <v>111.278883010835</v>
      </c>
      <c r="H78" s="237">
        <v>106.285525074014</v>
      </c>
      <c r="I78" s="237">
        <v>101.603681189526</v>
      </c>
      <c r="J78" s="237">
        <v>97.2050722315114</v>
      </c>
      <c r="K78" s="237">
        <v>93.0647421031077</v>
      </c>
      <c r="L78" s="237">
        <v>89.1605835025637</v>
      </c>
      <c r="M78" s="237">
        <v>85.4729426566358</v>
      </c>
      <c r="N78" s="237">
        <v>81.984288093769</v>
      </c>
      <c r="O78" s="237">
        <v>78.6789316698298</v>
      </c>
    </row>
    <row r="79" outlineLevel="1" spans="3:15">
      <c r="C79" s="150"/>
      <c r="D79" s="234">
        <f t="shared" si="3"/>
        <v>0.035</v>
      </c>
      <c r="E79" s="197">
        <v>121.553451964395</v>
      </c>
      <c r="F79" s="197">
        <v>115.862848478914</v>
      </c>
      <c r="G79" s="197">
        <v>110.550904789554</v>
      </c>
      <c r="H79" s="197">
        <v>105.581030021162</v>
      </c>
      <c r="I79" s="197">
        <v>100.921201607076</v>
      </c>
      <c r="J79" s="237">
        <v>96.5432738485306</v>
      </c>
      <c r="K79" s="197">
        <v>92.4224083784507</v>
      </c>
      <c r="L79" s="197">
        <v>88.5366021700405</v>
      </c>
      <c r="M79" s="197">
        <v>84.8662941389057</v>
      </c>
      <c r="N79" s="197">
        <v>81.3940354819243</v>
      </c>
      <c r="O79" s="197">
        <v>78.1042120214557</v>
      </c>
    </row>
    <row r="80" outlineLevel="1" spans="3:15">
      <c r="C80" s="150"/>
      <c r="D80" s="234">
        <f t="shared" si="3"/>
        <v>0.03</v>
      </c>
      <c r="E80" s="197">
        <v>120.773475298728</v>
      </c>
      <c r="F80" s="197">
        <v>115.109767560347</v>
      </c>
      <c r="G80" s="197">
        <v>109.822926568273</v>
      </c>
      <c r="H80" s="197">
        <v>104.87653496831</v>
      </c>
      <c r="I80" s="197">
        <v>100.238722024627</v>
      </c>
      <c r="J80" s="237">
        <v>95.8814754655501</v>
      </c>
      <c r="K80" s="197">
        <v>91.7800746537939</v>
      </c>
      <c r="L80" s="197">
        <v>87.9126208375175</v>
      </c>
      <c r="M80" s="197">
        <v>84.2596456211759</v>
      </c>
      <c r="N80" s="197">
        <v>80.80378287008</v>
      </c>
      <c r="O80" s="197">
        <v>77.5294923730818</v>
      </c>
    </row>
    <row r="81" outlineLevel="1" spans="3:15">
      <c r="C81" s="150"/>
      <c r="D81" s="238">
        <f t="shared" si="3"/>
        <v>0.025</v>
      </c>
      <c r="E81" s="197">
        <v>119.993498633061</v>
      </c>
      <c r="F81" s="197">
        <v>114.35668664178</v>
      </c>
      <c r="G81" s="197">
        <v>109.094948346993</v>
      </c>
      <c r="H81" s="197">
        <v>104.172039915459</v>
      </c>
      <c r="I81" s="197">
        <v>99.5562424421777</v>
      </c>
      <c r="J81" s="237">
        <v>95.2196770825697</v>
      </c>
      <c r="K81" s="197">
        <v>91.1377409291372</v>
      </c>
      <c r="L81" s="197">
        <v>87.2886395049947</v>
      </c>
      <c r="M81" s="197">
        <v>83.6529971034462</v>
      </c>
      <c r="N81" s="197">
        <v>80.2135302582358</v>
      </c>
      <c r="O81" s="197">
        <v>76.9547727247081</v>
      </c>
    </row>
    <row r="82" outlineLevel="1" spans="3:15">
      <c r="C82" s="239"/>
      <c r="D82" s="240">
        <f t="shared" si="3"/>
        <v>0.02</v>
      </c>
      <c r="E82" s="197">
        <v>119.213521967394</v>
      </c>
      <c r="F82" s="197">
        <v>113.603605723213</v>
      </c>
      <c r="G82" s="197">
        <v>108.366970125712</v>
      </c>
      <c r="H82" s="197">
        <v>103.467544862607</v>
      </c>
      <c r="I82" s="197">
        <v>98.8737628597286</v>
      </c>
      <c r="J82" s="237">
        <v>94.5578786995894</v>
      </c>
      <c r="K82" s="197">
        <v>90.4954072044807</v>
      </c>
      <c r="L82" s="197">
        <v>86.6646581724721</v>
      </c>
      <c r="M82" s="197">
        <v>83.0463485857168</v>
      </c>
      <c r="N82" s="197">
        <v>79.6232776463918</v>
      </c>
      <c r="O82" s="197">
        <v>76.3800530763347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autoPageBreaks="0"/>
  </sheetPr>
  <dimension ref="B2:Z250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4.25" style="11" customWidth="1"/>
    <col min="4" max="5" width="10.125" style="11" customWidth="1"/>
    <col min="6" max="10" width="10.125" style="11" customWidth="1" outlineLevel="2"/>
    <col min="11" max="21" width="10.125" style="11" customWidth="1" outlineLevel="1"/>
    <col min="22" max="22" width="2.375" style="11" customWidth="1"/>
    <col min="23" max="26" width="10.125" style="11" customWidth="1"/>
    <col min="27" max="27" width="2.375" style="11" customWidth="1"/>
    <col min="28" max="16384" width="8" style="11"/>
  </cols>
  <sheetData>
    <row r="2" ht="18.75" spans="2:13">
      <c r="B2" s="171" t="str">
        <f>Seller_Name&amp;" - Operating Model"</f>
        <v>DuPont Fabros Technology, Inc. - Operating Model</v>
      </c>
      <c r="D2" s="172"/>
      <c r="E2" s="4"/>
      <c r="F2" s="4"/>
      <c r="G2" s="4"/>
      <c r="H2" s="4"/>
      <c r="I2" s="4"/>
      <c r="J2" s="4"/>
      <c r="K2" s="4"/>
      <c r="L2" s="4"/>
      <c r="M2" s="4"/>
    </row>
    <row r="3" spans="2:13">
      <c r="B3" s="2" t="s">
        <v>438</v>
      </c>
      <c r="D3" s="172"/>
      <c r="E3" s="4"/>
      <c r="F3" s="4"/>
      <c r="G3" s="4"/>
      <c r="H3" s="4"/>
      <c r="I3" s="4"/>
      <c r="J3" s="4"/>
      <c r="K3" s="4"/>
      <c r="L3" s="4"/>
      <c r="M3" s="4"/>
    </row>
    <row r="4" spans="2:13">
      <c r="B4" s="4"/>
      <c r="C4" s="4"/>
      <c r="D4" s="172"/>
      <c r="E4" s="4"/>
      <c r="F4" s="4"/>
      <c r="G4" s="4"/>
      <c r="H4" s="4"/>
      <c r="I4" s="4"/>
      <c r="J4" s="4"/>
      <c r="K4" s="4"/>
      <c r="L4" s="4"/>
      <c r="M4" s="4"/>
    </row>
    <row r="5" spans="2:15">
      <c r="B5" s="173" t="s">
        <v>439</v>
      </c>
      <c r="C5" s="174"/>
      <c r="D5" s="174" t="s">
        <v>60</v>
      </c>
      <c r="E5" s="173"/>
      <c r="F5" s="173"/>
      <c r="G5" s="173"/>
      <c r="H5" s="173"/>
      <c r="I5" s="173"/>
      <c r="J5" s="173"/>
      <c r="K5" s="173"/>
      <c r="L5" s="174"/>
      <c r="M5" s="174"/>
      <c r="N5" s="173"/>
      <c r="O5" s="173"/>
    </row>
    <row r="6" outlineLevel="1" spans="2:13">
      <c r="B6" s="4"/>
      <c r="C6" s="4"/>
      <c r="D6" s="172"/>
      <c r="E6" s="4"/>
      <c r="F6" s="4"/>
      <c r="G6" s="4"/>
      <c r="H6" s="4"/>
      <c r="I6" s="4"/>
      <c r="J6" s="4"/>
      <c r="K6" s="4"/>
      <c r="L6" s="4"/>
      <c r="M6" s="4"/>
    </row>
    <row r="7" outlineLevel="1" spans="2:15">
      <c r="B7" s="4"/>
      <c r="C7" s="4" t="s">
        <v>440</v>
      </c>
      <c r="D7" s="181" t="s">
        <v>441</v>
      </c>
      <c r="E7" s="244" t="s">
        <v>544</v>
      </c>
      <c r="F7" s="244"/>
      <c r="G7" s="244"/>
      <c r="K7" s="45"/>
      <c r="L7" s="45"/>
      <c r="M7" s="46"/>
      <c r="N7" s="107" t="s">
        <v>63</v>
      </c>
      <c r="O7" s="46"/>
    </row>
    <row r="8" outlineLevel="1" spans="2:15">
      <c r="B8" s="4"/>
      <c r="C8" s="11" t="s">
        <v>443</v>
      </c>
      <c r="D8" s="181" t="s">
        <v>441</v>
      </c>
      <c r="E8" s="244" t="s">
        <v>545</v>
      </c>
      <c r="K8" s="47" t="s">
        <v>444</v>
      </c>
      <c r="L8" s="47"/>
      <c r="M8" s="48" t="s">
        <v>71</v>
      </c>
      <c r="N8" s="48" t="s">
        <v>72</v>
      </c>
      <c r="O8" s="48" t="s">
        <v>73</v>
      </c>
    </row>
    <row r="9" outlineLevel="1" spans="2:15">
      <c r="B9" s="245"/>
      <c r="C9" s="4" t="s">
        <v>445</v>
      </c>
      <c r="D9" s="181" t="s">
        <v>441</v>
      </c>
      <c r="E9" s="244" t="s">
        <v>446</v>
      </c>
      <c r="F9" s="244"/>
      <c r="G9" s="245"/>
      <c r="H9" s="245"/>
      <c r="I9" s="245"/>
      <c r="K9" s="49" t="s">
        <v>447</v>
      </c>
      <c r="M9" s="280">
        <v>0.751479</v>
      </c>
      <c r="N9" s="281">
        <v>15.83</v>
      </c>
      <c r="O9" s="111">
        <f>IF(N9&lt;Seller_Share_Price,M9-((M9*N9)/Seller_Share_Price),0)</f>
        <v>0.537292601548434</v>
      </c>
    </row>
    <row r="10" outlineLevel="1" spans="2:15">
      <c r="B10" s="245"/>
      <c r="C10" s="245" t="s">
        <v>448</v>
      </c>
      <c r="D10" s="246" t="s">
        <v>80</v>
      </c>
      <c r="E10" s="247">
        <v>42735</v>
      </c>
      <c r="F10" s="245"/>
      <c r="G10" s="245"/>
      <c r="H10" s="245"/>
      <c r="I10" s="245"/>
      <c r="K10" s="51" t="s">
        <v>546</v>
      </c>
      <c r="M10" s="282">
        <v>0.35248</v>
      </c>
      <c r="O10" s="112">
        <f t="shared" ref="O10:O12" si="0">+M10</f>
        <v>0.35248</v>
      </c>
    </row>
    <row r="11" outlineLevel="1" spans="2:15">
      <c r="B11" s="245"/>
      <c r="C11" s="11" t="s">
        <v>450</v>
      </c>
      <c r="D11" s="246" t="s">
        <v>80</v>
      </c>
      <c r="E11" s="247">
        <v>42825</v>
      </c>
      <c r="F11" s="245"/>
      <c r="G11" s="245"/>
      <c r="H11" s="245"/>
      <c r="I11" s="245"/>
      <c r="K11" s="51" t="s">
        <v>451</v>
      </c>
      <c r="M11" s="282">
        <v>11.682368</v>
      </c>
      <c r="O11" s="112">
        <f t="shared" si="0"/>
        <v>11.682368</v>
      </c>
    </row>
    <row r="12" outlineLevel="1" spans="2:15">
      <c r="B12" s="245"/>
      <c r="D12" s="248"/>
      <c r="E12" s="245"/>
      <c r="F12" s="245"/>
      <c r="G12" s="245"/>
      <c r="H12" s="245"/>
      <c r="I12" s="245"/>
      <c r="K12" s="49" t="s">
        <v>547</v>
      </c>
      <c r="L12" s="115"/>
      <c r="M12" s="282">
        <v>0.220173</v>
      </c>
      <c r="N12" s="283"/>
      <c r="O12" s="218">
        <f t="shared" si="0"/>
        <v>0.220173</v>
      </c>
    </row>
    <row r="13" outlineLevel="1" spans="2:15">
      <c r="B13" s="245"/>
      <c r="C13" s="11" t="s">
        <v>455</v>
      </c>
      <c r="D13" s="246" t="s">
        <v>65</v>
      </c>
      <c r="E13" s="249">
        <v>55.54</v>
      </c>
      <c r="F13" s="245"/>
      <c r="G13" s="245"/>
      <c r="H13" s="245"/>
      <c r="I13" s="245"/>
      <c r="K13" s="219" t="s">
        <v>454</v>
      </c>
      <c r="M13" s="284"/>
      <c r="N13" s="285"/>
      <c r="O13" s="118">
        <f>SUM(O9:O12)</f>
        <v>12.7923136015484</v>
      </c>
    </row>
    <row r="14" outlineLevel="1" spans="2:14">
      <c r="B14" s="245"/>
      <c r="C14" s="11" t="s">
        <v>456</v>
      </c>
      <c r="D14" s="9" t="s">
        <v>229</v>
      </c>
      <c r="E14" s="250">
        <v>77.83617</v>
      </c>
      <c r="F14" s="245"/>
      <c r="G14" s="245"/>
      <c r="H14" s="245"/>
      <c r="I14" s="245"/>
      <c r="N14" s="114"/>
    </row>
    <row r="15" outlineLevel="1" spans="2:15">
      <c r="B15" s="245"/>
      <c r="D15" s="248"/>
      <c r="E15" s="245"/>
      <c r="F15" s="245"/>
      <c r="G15" s="245"/>
      <c r="H15" s="245"/>
      <c r="I15" s="245"/>
      <c r="K15" s="11" t="s">
        <v>457</v>
      </c>
      <c r="O15" s="114">
        <f>+Seller_Shares+O13</f>
        <v>90.6284836015484</v>
      </c>
    </row>
    <row r="16" outlineLevel="1" spans="2:9">
      <c r="B16" s="245"/>
      <c r="C16" s="245" t="s">
        <v>463</v>
      </c>
      <c r="D16" s="736" t="s">
        <v>56</v>
      </c>
      <c r="E16" s="182">
        <v>0.1</v>
      </c>
      <c r="F16" s="245"/>
      <c r="G16" s="245"/>
      <c r="H16" s="245"/>
      <c r="I16" s="245"/>
    </row>
    <row r="17" outlineLevel="1" spans="2:15">
      <c r="B17" s="245"/>
      <c r="C17" s="245"/>
      <c r="D17" s="248"/>
      <c r="E17" s="245"/>
      <c r="F17" s="245"/>
      <c r="G17" s="245"/>
      <c r="H17" s="245"/>
      <c r="I17" s="245"/>
      <c r="K17" s="286" t="s">
        <v>410</v>
      </c>
      <c r="L17" s="287"/>
      <c r="M17" s="287"/>
      <c r="N17" s="287"/>
      <c r="O17" s="288">
        <f>+Seller_Share_Price*Seller_Diluted_Shares</f>
        <v>5033.50597923</v>
      </c>
    </row>
    <row r="18" outlineLevel="1" spans="2:15">
      <c r="B18" s="245"/>
      <c r="C18" s="245" t="s">
        <v>464</v>
      </c>
      <c r="D18" s="736" t="s">
        <v>56</v>
      </c>
      <c r="E18" s="182">
        <v>0.9</v>
      </c>
      <c r="F18" s="245"/>
      <c r="G18" s="245"/>
      <c r="H18" s="245"/>
      <c r="I18" s="245"/>
      <c r="K18" s="262" t="s">
        <v>94</v>
      </c>
      <c r="M18" s="181"/>
      <c r="N18" s="181"/>
      <c r="O18" s="289">
        <f>-J112</f>
        <v>-44.9239999999999</v>
      </c>
    </row>
    <row r="19" outlineLevel="1" spans="2:15">
      <c r="B19" s="245"/>
      <c r="C19" s="245" t="s">
        <v>465</v>
      </c>
      <c r="D19" s="736" t="s">
        <v>56</v>
      </c>
      <c r="E19" s="251">
        <f>1-Seller_Pct_Debt</f>
        <v>0.1</v>
      </c>
      <c r="F19" s="245"/>
      <c r="G19" s="245"/>
      <c r="H19" s="245"/>
      <c r="I19" s="245"/>
      <c r="K19" s="51" t="s">
        <v>98</v>
      </c>
      <c r="O19" s="275">
        <v>0</v>
      </c>
    </row>
    <row r="20" outlineLevel="1" spans="2:15">
      <c r="B20" s="245"/>
      <c r="F20" s="245"/>
      <c r="G20" s="245"/>
      <c r="H20" s="245"/>
      <c r="I20" s="245"/>
      <c r="K20" s="262" t="s">
        <v>100</v>
      </c>
      <c r="L20" s="245"/>
      <c r="M20" s="245"/>
      <c r="N20" s="245"/>
      <c r="O20" s="290">
        <f>+J122</f>
        <v>1407.819</v>
      </c>
    </row>
    <row r="21" outlineLevel="1" spans="2:15">
      <c r="B21" s="245"/>
      <c r="F21" s="245"/>
      <c r="G21" s="245"/>
      <c r="H21" s="245"/>
      <c r="I21" s="245"/>
      <c r="K21" s="262" t="s">
        <v>103</v>
      </c>
      <c r="O21" s="290">
        <f>+J128</f>
        <v>201.25</v>
      </c>
    </row>
    <row r="22" outlineLevel="1" spans="2:15">
      <c r="B22" s="245"/>
      <c r="F22" s="245"/>
      <c r="G22" s="245"/>
      <c r="H22" s="245"/>
      <c r="I22" s="245"/>
      <c r="K22" s="262" t="s">
        <v>105</v>
      </c>
      <c r="L22" s="245"/>
      <c r="M22" s="245"/>
      <c r="N22" s="245"/>
      <c r="O22" s="291">
        <v>0</v>
      </c>
    </row>
    <row r="23" outlineLevel="1" spans="2:15">
      <c r="B23" s="245"/>
      <c r="F23" s="245"/>
      <c r="G23" s="245"/>
      <c r="H23" s="245"/>
      <c r="I23" s="245"/>
      <c r="K23" s="292" t="s">
        <v>411</v>
      </c>
      <c r="L23" s="293"/>
      <c r="M23" s="293"/>
      <c r="N23" s="293"/>
      <c r="O23" s="294">
        <f>SUM(O17:O22)</f>
        <v>6597.65097923</v>
      </c>
    </row>
    <row r="24" outlineLevel="1" spans="2:13">
      <c r="B24" s="245"/>
      <c r="C24" s="245"/>
      <c r="D24" s="248"/>
      <c r="E24" s="245"/>
      <c r="F24" s="245"/>
      <c r="G24" s="245"/>
      <c r="H24" s="245"/>
      <c r="I24" s="245"/>
      <c r="J24" s="245"/>
      <c r="K24" s="245"/>
      <c r="L24" s="245"/>
      <c r="M24" s="295"/>
    </row>
    <row r="25" outlineLevel="1" spans="2:26">
      <c r="B25" s="252" t="s">
        <v>182</v>
      </c>
      <c r="C25" s="245"/>
      <c r="D25" s="248"/>
      <c r="E25" s="245"/>
      <c r="F25" s="253">
        <f t="shared" ref="F25:U25" si="1">YEAR(F28)</f>
        <v>2016</v>
      </c>
      <c r="G25" s="253">
        <f t="shared" si="1"/>
        <v>2016</v>
      </c>
      <c r="H25" s="253">
        <f t="shared" si="1"/>
        <v>2016</v>
      </c>
      <c r="I25" s="253">
        <f t="shared" si="1"/>
        <v>2016</v>
      </c>
      <c r="J25" s="253">
        <f t="shared" si="1"/>
        <v>2017</v>
      </c>
      <c r="K25" s="253">
        <f t="shared" si="1"/>
        <v>2017</v>
      </c>
      <c r="L25" s="253">
        <f t="shared" si="1"/>
        <v>2017</v>
      </c>
      <c r="M25" s="253">
        <f t="shared" si="1"/>
        <v>2017</v>
      </c>
      <c r="N25" s="253">
        <f t="shared" si="1"/>
        <v>2018</v>
      </c>
      <c r="O25" s="253">
        <f t="shared" si="1"/>
        <v>2018</v>
      </c>
      <c r="P25" s="253">
        <f t="shared" si="1"/>
        <v>2018</v>
      </c>
      <c r="Q25" s="253">
        <f t="shared" si="1"/>
        <v>2018</v>
      </c>
      <c r="R25" s="253">
        <f t="shared" si="1"/>
        <v>2019</v>
      </c>
      <c r="S25" s="253">
        <f t="shared" si="1"/>
        <v>2019</v>
      </c>
      <c r="T25" s="253">
        <f t="shared" si="1"/>
        <v>2019</v>
      </c>
      <c r="U25" s="253">
        <f t="shared" si="1"/>
        <v>2019</v>
      </c>
      <c r="W25" s="253">
        <f t="shared" ref="W25:Z25" si="2">YEAR(W28)</f>
        <v>2016</v>
      </c>
      <c r="X25" s="253">
        <f t="shared" si="2"/>
        <v>2017</v>
      </c>
      <c r="Y25" s="253">
        <f t="shared" si="2"/>
        <v>2018</v>
      </c>
      <c r="Z25" s="253">
        <f t="shared" si="2"/>
        <v>2019</v>
      </c>
    </row>
    <row r="26" spans="2:13">
      <c r="B26" s="245"/>
      <c r="C26" s="245"/>
      <c r="D26" s="248"/>
      <c r="E26" s="245"/>
      <c r="F26" s="245"/>
      <c r="G26" s="245"/>
      <c r="H26" s="245"/>
      <c r="I26" s="245"/>
      <c r="J26" s="245"/>
      <c r="K26" s="245"/>
      <c r="L26" s="245"/>
      <c r="M26" s="295"/>
    </row>
    <row r="27" spans="2:26">
      <c r="B27" s="254"/>
      <c r="C27" s="254"/>
      <c r="D27" s="255"/>
      <c r="E27" s="256"/>
      <c r="F27" s="257" t="s">
        <v>45</v>
      </c>
      <c r="G27" s="257"/>
      <c r="H27" s="257"/>
      <c r="I27" s="257"/>
      <c r="J27" s="296"/>
      <c r="K27" s="297" t="s">
        <v>46</v>
      </c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W27" s="257" t="s">
        <v>45</v>
      </c>
      <c r="X27" s="297" t="s">
        <v>46</v>
      </c>
      <c r="Y27" s="257"/>
      <c r="Z27" s="257"/>
    </row>
    <row r="28" spans="2:26">
      <c r="B28" s="173" t="s">
        <v>186</v>
      </c>
      <c r="C28" s="173"/>
      <c r="D28" s="174" t="str">
        <f>+$D$5</f>
        <v>Units:</v>
      </c>
      <c r="E28" s="175"/>
      <c r="F28" s="258">
        <f>EOMONTH(G28,-Months/Num_Periods)</f>
        <v>42460</v>
      </c>
      <c r="G28" s="259">
        <f>EOMONTH(H28,-Months/Num_Periods)</f>
        <v>42551</v>
      </c>
      <c r="H28" s="260">
        <f>EOMONTH(I28,-Months/Num_Periods)</f>
        <v>42643</v>
      </c>
      <c r="I28" s="298">
        <f>EOMONTH(J28,-Months/Num_Periods)</f>
        <v>42735</v>
      </c>
      <c r="J28" s="258">
        <f>Seller_MRQ</f>
        <v>42825</v>
      </c>
      <c r="K28" s="299">
        <f>EOMONTH(J28,Months/Num_Periods)</f>
        <v>42916</v>
      </c>
      <c r="L28" s="260">
        <f>EOMONTH(K28,Months/Num_Periods)</f>
        <v>43008</v>
      </c>
      <c r="M28" s="298">
        <f>EOMONTH(L28,Months/Num_Periods)</f>
        <v>43100</v>
      </c>
      <c r="N28" s="258">
        <f>EOMONTH(M28,Months/Num_Periods)</f>
        <v>43190</v>
      </c>
      <c r="O28" s="259">
        <f>EOMONTH(N28,Months/Num_Periods)</f>
        <v>43281</v>
      </c>
      <c r="P28" s="260">
        <f>EOMONTH(O28,Months/Num_Periods)</f>
        <v>43373</v>
      </c>
      <c r="Q28" s="298">
        <f>EOMONTH(P28,Months/Num_Periods)</f>
        <v>43465</v>
      </c>
      <c r="R28" s="258">
        <f>EOMONTH(Q28,Months/Num_Periods)</f>
        <v>43555</v>
      </c>
      <c r="S28" s="259">
        <f>EOMONTH(R28,Months/Num_Periods)</f>
        <v>43646</v>
      </c>
      <c r="T28" s="260">
        <f>EOMONTH(S28,Months/Num_Periods)</f>
        <v>43738</v>
      </c>
      <c r="U28" s="298">
        <f>EOMONTH(T28,Months/Num_Periods)</f>
        <v>43830</v>
      </c>
      <c r="W28" s="313">
        <f>Seller_Hist_Year</f>
        <v>42735</v>
      </c>
      <c r="X28" s="314">
        <f>EOMONTH(W28,Months)</f>
        <v>43100</v>
      </c>
      <c r="Y28" s="176">
        <f>EOMONTH(X28,Months)</f>
        <v>43465</v>
      </c>
      <c r="Z28" s="176">
        <f>EOMONTH(Y28,Months)</f>
        <v>43830</v>
      </c>
    </row>
    <row r="29" outlineLevel="1" spans="2:13">
      <c r="B29" s="4"/>
      <c r="C29" s="4"/>
      <c r="D29" s="172"/>
      <c r="E29" s="261"/>
      <c r="F29" s="261"/>
      <c r="G29" s="261"/>
      <c r="H29" s="261"/>
      <c r="I29" s="261"/>
      <c r="J29" s="261"/>
      <c r="K29" s="261"/>
      <c r="L29" s="261"/>
      <c r="M29" s="261"/>
    </row>
    <row r="30" outlineLevel="1" spans="2:13">
      <c r="B30" s="4"/>
      <c r="C30" s="126" t="s">
        <v>190</v>
      </c>
      <c r="D30" s="172"/>
      <c r="E30" s="261"/>
      <c r="F30" s="261"/>
      <c r="G30" s="261"/>
      <c r="H30" s="261"/>
      <c r="I30" s="261"/>
      <c r="J30" s="261"/>
      <c r="K30" s="300"/>
      <c r="L30" s="261"/>
      <c r="M30" s="271"/>
    </row>
    <row r="31" outlineLevel="1" spans="2:26">
      <c r="B31" s="4"/>
      <c r="C31" s="262" t="s">
        <v>191</v>
      </c>
      <c r="D31" s="181" t="s">
        <v>48</v>
      </c>
      <c r="E31" s="261"/>
      <c r="F31" s="263">
        <v>82.533</v>
      </c>
      <c r="G31" s="263">
        <v>83.362</v>
      </c>
      <c r="H31" s="263">
        <v>88.614</v>
      </c>
      <c r="I31" s="263">
        <v>90.513</v>
      </c>
      <c r="J31" s="263">
        <v>91.268</v>
      </c>
      <c r="K31" s="301">
        <f t="shared" ref="K31:U31" si="3">+G31*(1+K72)</f>
        <v>84.19562</v>
      </c>
      <c r="L31" s="301">
        <f t="shared" si="3"/>
        <v>89.05707</v>
      </c>
      <c r="M31" s="301">
        <f t="shared" si="3"/>
        <v>92.32326</v>
      </c>
      <c r="N31" s="301">
        <f t="shared" si="3"/>
        <v>91.72434</v>
      </c>
      <c r="O31" s="301">
        <f t="shared" si="3"/>
        <v>84.86918496</v>
      </c>
      <c r="P31" s="301">
        <f t="shared" si="3"/>
        <v>89.41329828</v>
      </c>
      <c r="Q31" s="301">
        <f t="shared" si="3"/>
        <v>93.7081089</v>
      </c>
      <c r="R31" s="301">
        <f t="shared" si="3"/>
        <v>92.09123736</v>
      </c>
      <c r="S31" s="301">
        <f t="shared" si="3"/>
        <v>85.46326925472</v>
      </c>
      <c r="T31" s="301">
        <f t="shared" si="3"/>
        <v>89.77095147312</v>
      </c>
      <c r="U31" s="301">
        <f t="shared" si="3"/>
        <v>94.8326062068</v>
      </c>
      <c r="W31" s="301">
        <f t="shared" ref="W31:Z31" si="4">SUMIF($F$25:$U$25,W$25,$F31:$U31)</f>
        <v>345.022</v>
      </c>
      <c r="X31" s="301">
        <f t="shared" si="4"/>
        <v>356.84395</v>
      </c>
      <c r="Y31" s="301">
        <f t="shared" si="4"/>
        <v>359.71493214</v>
      </c>
      <c r="Z31" s="301">
        <f t="shared" si="4"/>
        <v>362.15806429464</v>
      </c>
    </row>
    <row r="32" outlineLevel="1" spans="2:26">
      <c r="B32" s="4"/>
      <c r="C32" s="262" t="s">
        <v>192</v>
      </c>
      <c r="D32" s="181" t="s">
        <v>48</v>
      </c>
      <c r="E32" s="261"/>
      <c r="F32" s="264">
        <v>0</v>
      </c>
      <c r="G32" s="264">
        <v>0</v>
      </c>
      <c r="H32" s="264">
        <v>0</v>
      </c>
      <c r="I32" s="264">
        <v>0</v>
      </c>
      <c r="J32" s="264">
        <v>0</v>
      </c>
      <c r="K32" s="302">
        <f>SUM($K90:K90)</f>
        <v>3.85</v>
      </c>
      <c r="L32" s="302">
        <f>SUM($K90:L90)</f>
        <v>7.975</v>
      </c>
      <c r="M32" s="302">
        <f>SUM($K90:M90)</f>
        <v>12.375</v>
      </c>
      <c r="N32" s="302">
        <f>SUM($K90:N90)</f>
        <v>16.775</v>
      </c>
      <c r="O32" s="302">
        <f>SUM($K90:O90)</f>
        <v>21.45</v>
      </c>
      <c r="P32" s="302">
        <f>SUM($K90:P90)</f>
        <v>26.125</v>
      </c>
      <c r="Q32" s="302">
        <f>SUM($K90:Q90)</f>
        <v>31.075</v>
      </c>
      <c r="R32" s="302">
        <f>SUM($K90:R90)</f>
        <v>36.475</v>
      </c>
      <c r="S32" s="302">
        <f>SUM($K90:S90)</f>
        <v>41.875</v>
      </c>
      <c r="T32" s="302">
        <f>SUM($K90:T90)</f>
        <v>47.275</v>
      </c>
      <c r="U32" s="302">
        <f>SUM($K90:U90)</f>
        <v>52.975</v>
      </c>
      <c r="W32" s="302">
        <f t="shared" ref="W32:Z32" si="5">SUMIF($F$25:$U$25,W$25,$F32:$U32)</f>
        <v>0</v>
      </c>
      <c r="X32" s="302">
        <f t="shared" si="5"/>
        <v>24.2</v>
      </c>
      <c r="Y32" s="302">
        <f t="shared" si="5"/>
        <v>95.425</v>
      </c>
      <c r="Z32" s="302">
        <f t="shared" si="5"/>
        <v>178.6</v>
      </c>
    </row>
    <row r="33" outlineLevel="1" spans="2:26">
      <c r="B33" s="4"/>
      <c r="C33" s="262" t="s">
        <v>195</v>
      </c>
      <c r="D33" s="181" t="s">
        <v>48</v>
      </c>
      <c r="E33" s="261"/>
      <c r="F33" s="264">
        <v>38.694</v>
      </c>
      <c r="G33" s="264">
        <v>41.695</v>
      </c>
      <c r="H33" s="264">
        <v>44.375</v>
      </c>
      <c r="I33" s="264">
        <v>44.904</v>
      </c>
      <c r="J33" s="264">
        <v>45.295</v>
      </c>
      <c r="K33" s="302">
        <f t="shared" ref="K33:U33" si="6">-K39*K74</f>
        <v>43.7817224</v>
      </c>
      <c r="L33" s="302">
        <f t="shared" si="6"/>
        <v>44.528535</v>
      </c>
      <c r="M33" s="302">
        <f t="shared" si="6"/>
        <v>46.16163</v>
      </c>
      <c r="N33" s="302">
        <f t="shared" si="6"/>
        <v>45.86217</v>
      </c>
      <c r="O33" s="302">
        <f t="shared" si="6"/>
        <v>44.1319761792</v>
      </c>
      <c r="P33" s="302">
        <f t="shared" si="6"/>
        <v>44.70664914</v>
      </c>
      <c r="Q33" s="302">
        <f t="shared" si="6"/>
        <v>46.85405445</v>
      </c>
      <c r="R33" s="302">
        <f t="shared" si="6"/>
        <v>46.04561868</v>
      </c>
      <c r="S33" s="302">
        <f t="shared" si="6"/>
        <v>44.4409000124544</v>
      </c>
      <c r="T33" s="302">
        <f t="shared" si="6"/>
        <v>44.88547573656</v>
      </c>
      <c r="U33" s="302">
        <f t="shared" si="6"/>
        <v>47.4163031034</v>
      </c>
      <c r="W33" s="302">
        <f t="shared" ref="W33:Z33" si="7">SUMIF($F$25:$U$25,W$25,$F33:$U33)</f>
        <v>169.668</v>
      </c>
      <c r="X33" s="302">
        <f t="shared" si="7"/>
        <v>179.7668874</v>
      </c>
      <c r="Y33" s="302">
        <f t="shared" si="7"/>
        <v>181.5548497692</v>
      </c>
      <c r="Z33" s="302">
        <f t="shared" si="7"/>
        <v>182.788297532414</v>
      </c>
    </row>
    <row r="34" outlineLevel="1" spans="2:26">
      <c r="B34" s="4"/>
      <c r="C34" s="262" t="s">
        <v>196</v>
      </c>
      <c r="D34" s="181" t="s">
        <v>48</v>
      </c>
      <c r="E34" s="261"/>
      <c r="F34" s="264">
        <v>0</v>
      </c>
      <c r="G34" s="264">
        <v>0</v>
      </c>
      <c r="H34" s="264">
        <v>0</v>
      </c>
      <c r="I34" s="264">
        <v>0</v>
      </c>
      <c r="J34" s="264">
        <v>0</v>
      </c>
      <c r="K34" s="302">
        <f>SUM($K89:K89)</f>
        <v>2.002</v>
      </c>
      <c r="L34" s="302">
        <f>SUM($K89:L89)</f>
        <v>4.0645</v>
      </c>
      <c r="M34" s="302">
        <f>SUM($K89:M89)</f>
        <v>6.2645</v>
      </c>
      <c r="N34" s="302">
        <f>SUM($K89:N89)</f>
        <v>8.4645</v>
      </c>
      <c r="O34" s="302">
        <f>SUM($K89:O89)</f>
        <v>10.8955</v>
      </c>
      <c r="P34" s="302">
        <f>SUM($K89:P89)</f>
        <v>13.233</v>
      </c>
      <c r="Q34" s="302">
        <f>SUM($K89:Q89)</f>
        <v>15.708</v>
      </c>
      <c r="R34" s="302">
        <f>SUM($K89:R89)</f>
        <v>18.408</v>
      </c>
      <c r="S34" s="302">
        <f>SUM($K89:S89)</f>
        <v>21.216</v>
      </c>
      <c r="T34" s="302">
        <f>SUM($K89:T89)</f>
        <v>23.916</v>
      </c>
      <c r="U34" s="302">
        <f>SUM($K89:U89)</f>
        <v>26.766</v>
      </c>
      <c r="W34" s="302">
        <f t="shared" ref="W34:Z34" si="8">SUMIF($F$25:$U$25,W$25,$F34:$U34)</f>
        <v>0</v>
      </c>
      <c r="X34" s="302">
        <f t="shared" si="8"/>
        <v>12.331</v>
      </c>
      <c r="Y34" s="302">
        <f t="shared" si="8"/>
        <v>48.301</v>
      </c>
      <c r="Z34" s="302">
        <f t="shared" si="8"/>
        <v>90.306</v>
      </c>
    </row>
    <row r="35" outlineLevel="1" spans="2:26">
      <c r="B35" s="4"/>
      <c r="C35" s="265" t="s">
        <v>199</v>
      </c>
      <c r="D35" s="200" t="s">
        <v>48</v>
      </c>
      <c r="E35" s="266"/>
      <c r="F35" s="267">
        <v>2.922</v>
      </c>
      <c r="G35" s="267">
        <v>3.481</v>
      </c>
      <c r="H35" s="267">
        <v>1.337</v>
      </c>
      <c r="I35" s="267">
        <v>6.271</v>
      </c>
      <c r="J35" s="267">
        <v>2.921</v>
      </c>
      <c r="K35" s="303">
        <f t="shared" ref="K35:U35" si="9">+G35*(1+K76)</f>
        <v>3.65505</v>
      </c>
      <c r="L35" s="303">
        <f t="shared" si="9"/>
        <v>1.397165</v>
      </c>
      <c r="M35" s="303">
        <f t="shared" si="9"/>
        <v>6.553195</v>
      </c>
      <c r="N35" s="303">
        <f t="shared" si="9"/>
        <v>3.03784</v>
      </c>
      <c r="O35" s="303">
        <f t="shared" si="9"/>
        <v>3.801252</v>
      </c>
      <c r="P35" s="303">
        <f t="shared" si="9"/>
        <v>1.446065775</v>
      </c>
      <c r="Q35" s="303">
        <f t="shared" si="9"/>
        <v>6.782556825</v>
      </c>
      <c r="R35" s="303">
        <f t="shared" si="9"/>
        <v>3.1289752</v>
      </c>
      <c r="S35" s="303">
        <f t="shared" si="9"/>
        <v>3.91528956</v>
      </c>
      <c r="T35" s="303">
        <f t="shared" si="9"/>
        <v>1.482217419375</v>
      </c>
      <c r="U35" s="303">
        <f t="shared" si="9"/>
        <v>6.952120745625</v>
      </c>
      <c r="W35" s="303">
        <f t="shared" ref="W35:Z35" si="10">SUMIF($F$25:$U$25,W$25,$F35:$U35)</f>
        <v>14.011</v>
      </c>
      <c r="X35" s="303">
        <f t="shared" si="10"/>
        <v>14.52641</v>
      </c>
      <c r="Y35" s="303">
        <f t="shared" si="10"/>
        <v>15.0677146</v>
      </c>
      <c r="Z35" s="303">
        <f t="shared" si="10"/>
        <v>15.478602925</v>
      </c>
    </row>
    <row r="36" outlineLevel="1" spans="2:26">
      <c r="B36" s="4"/>
      <c r="C36" s="268" t="s">
        <v>200</v>
      </c>
      <c r="D36" s="181" t="s">
        <v>48</v>
      </c>
      <c r="E36" s="261"/>
      <c r="F36" s="269">
        <f t="shared" ref="F36:U36" si="11">SUM(F31:F35)</f>
        <v>124.149</v>
      </c>
      <c r="G36" s="269">
        <f t="shared" si="11"/>
        <v>128.538</v>
      </c>
      <c r="H36" s="269">
        <f t="shared" si="11"/>
        <v>134.326</v>
      </c>
      <c r="I36" s="269">
        <f t="shared" si="11"/>
        <v>141.688</v>
      </c>
      <c r="J36" s="269">
        <f t="shared" si="11"/>
        <v>139.484</v>
      </c>
      <c r="K36" s="269">
        <f t="shared" si="11"/>
        <v>137.4843924</v>
      </c>
      <c r="L36" s="269">
        <f t="shared" si="11"/>
        <v>147.02227</v>
      </c>
      <c r="M36" s="269">
        <f t="shared" si="11"/>
        <v>163.677585</v>
      </c>
      <c r="N36" s="269">
        <f t="shared" si="11"/>
        <v>165.86385</v>
      </c>
      <c r="O36" s="269">
        <f t="shared" si="11"/>
        <v>165.1479131392</v>
      </c>
      <c r="P36" s="269">
        <f t="shared" si="11"/>
        <v>174.924013195</v>
      </c>
      <c r="Q36" s="269">
        <f t="shared" si="11"/>
        <v>194.127720175</v>
      </c>
      <c r="R36" s="269">
        <f t="shared" si="11"/>
        <v>196.14883124</v>
      </c>
      <c r="S36" s="269">
        <f t="shared" si="11"/>
        <v>196.910458827174</v>
      </c>
      <c r="T36" s="269">
        <f t="shared" si="11"/>
        <v>207.329644629055</v>
      </c>
      <c r="U36" s="269">
        <f t="shared" si="11"/>
        <v>228.942030055825</v>
      </c>
      <c r="W36" s="269">
        <f t="shared" ref="W36:Z36" si="12">SUM(W31:W35)</f>
        <v>528.701</v>
      </c>
      <c r="X36" s="269">
        <f t="shared" si="12"/>
        <v>587.6682474</v>
      </c>
      <c r="Y36" s="269">
        <f t="shared" si="12"/>
        <v>700.0634965092</v>
      </c>
      <c r="Z36" s="269">
        <f t="shared" si="12"/>
        <v>829.330964752054</v>
      </c>
    </row>
    <row r="37" outlineLevel="1" spans="2:14">
      <c r="B37" s="4"/>
      <c r="C37" s="4"/>
      <c r="D37" s="172"/>
      <c r="E37" s="261"/>
      <c r="F37" s="270"/>
      <c r="G37" s="261"/>
      <c r="H37" s="261"/>
      <c r="I37" s="304"/>
      <c r="J37" s="261"/>
      <c r="K37" s="305"/>
      <c r="L37" s="261"/>
      <c r="M37" s="261"/>
      <c r="N37" s="261"/>
    </row>
    <row r="38" outlineLevel="1" spans="2:14">
      <c r="B38" s="4"/>
      <c r="C38" s="126" t="s">
        <v>201</v>
      </c>
      <c r="D38" s="172"/>
      <c r="E38" s="261"/>
      <c r="F38" s="271"/>
      <c r="G38" s="271"/>
      <c r="H38" s="271"/>
      <c r="I38" s="271"/>
      <c r="J38" s="271"/>
      <c r="K38" s="261"/>
      <c r="L38" s="261"/>
      <c r="M38" s="261"/>
      <c r="N38" s="261"/>
    </row>
    <row r="39" outlineLevel="1" spans="2:26">
      <c r="B39" s="4"/>
      <c r="C39" s="262" t="s">
        <v>202</v>
      </c>
      <c r="D39" s="181" t="s">
        <v>48</v>
      </c>
      <c r="E39" s="4"/>
      <c r="F39" s="264">
        <v>-41.271</v>
      </c>
      <c r="G39" s="264">
        <v>-43.773</v>
      </c>
      <c r="H39" s="264">
        <v>-44.169</v>
      </c>
      <c r="I39" s="264">
        <v>-45.031</v>
      </c>
      <c r="J39" s="264">
        <v>-45.201</v>
      </c>
      <c r="K39" s="302">
        <f t="shared" ref="K39:U39" si="13">-K31*K73</f>
        <v>-43.7817224</v>
      </c>
      <c r="L39" s="302">
        <f t="shared" si="13"/>
        <v>-44.528535</v>
      </c>
      <c r="M39" s="302">
        <f t="shared" si="13"/>
        <v>-46.16163</v>
      </c>
      <c r="N39" s="302">
        <f t="shared" si="13"/>
        <v>-45.86217</v>
      </c>
      <c r="O39" s="302">
        <f t="shared" si="13"/>
        <v>-44.1319761792</v>
      </c>
      <c r="P39" s="302">
        <f t="shared" si="13"/>
        <v>-44.70664914</v>
      </c>
      <c r="Q39" s="302">
        <f t="shared" si="13"/>
        <v>-46.85405445</v>
      </c>
      <c r="R39" s="302">
        <f t="shared" si="13"/>
        <v>-46.04561868</v>
      </c>
      <c r="S39" s="302">
        <f t="shared" si="13"/>
        <v>-44.4409000124544</v>
      </c>
      <c r="T39" s="302">
        <f t="shared" si="13"/>
        <v>-44.88547573656</v>
      </c>
      <c r="U39" s="302">
        <f t="shared" si="13"/>
        <v>-47.4163031034</v>
      </c>
      <c r="W39" s="302">
        <f t="shared" ref="W39:Z39" si="14">SUMIF($F$25:$U$25,W$25,$F39:$U39)</f>
        <v>-174.244</v>
      </c>
      <c r="X39" s="302">
        <f t="shared" si="14"/>
        <v>-179.6728874</v>
      </c>
      <c r="Y39" s="302">
        <f t="shared" si="14"/>
        <v>-181.5548497692</v>
      </c>
      <c r="Z39" s="302">
        <f t="shared" si="14"/>
        <v>-182.788297532414</v>
      </c>
    </row>
    <row r="40" outlineLevel="1" spans="2:26">
      <c r="B40" s="4"/>
      <c r="C40" s="262" t="s">
        <v>203</v>
      </c>
      <c r="D40" s="181" t="s">
        <v>48</v>
      </c>
      <c r="E40" s="4"/>
      <c r="F40" s="264">
        <v>0</v>
      </c>
      <c r="G40" s="264">
        <v>0</v>
      </c>
      <c r="H40" s="264">
        <v>0</v>
      </c>
      <c r="I40" s="264">
        <v>0</v>
      </c>
      <c r="J40" s="264">
        <v>0</v>
      </c>
      <c r="K40" s="302">
        <f>-SUM($K88:K88)</f>
        <v>-2.002</v>
      </c>
      <c r="L40" s="302">
        <f>-SUM($K88:L88)</f>
        <v>-4.0645</v>
      </c>
      <c r="M40" s="302">
        <f>-SUM($K88:M88)</f>
        <v>-6.2645</v>
      </c>
      <c r="N40" s="302">
        <f>-SUM($K88:N88)</f>
        <v>-8.4645</v>
      </c>
      <c r="O40" s="302">
        <f>-SUM($K88:O88)</f>
        <v>-10.8955</v>
      </c>
      <c r="P40" s="302">
        <f>-SUM($K88:P88)</f>
        <v>-13.233</v>
      </c>
      <c r="Q40" s="302">
        <f>-SUM($K88:Q88)</f>
        <v>-15.708</v>
      </c>
      <c r="R40" s="302">
        <f>-SUM($K88:R88)</f>
        <v>-18.408</v>
      </c>
      <c r="S40" s="302">
        <f>-SUM($K88:S88)</f>
        <v>-21.216</v>
      </c>
      <c r="T40" s="302">
        <f>-SUM($K88:T88)</f>
        <v>-23.916</v>
      </c>
      <c r="U40" s="302">
        <f>-SUM($K88:U88)</f>
        <v>-26.766</v>
      </c>
      <c r="W40" s="302">
        <f t="shared" ref="W40:Z40" si="15">SUMIF($F$25:$U$25,W$25,$F40:$U40)</f>
        <v>0</v>
      </c>
      <c r="X40" s="302">
        <f t="shared" si="15"/>
        <v>-12.331</v>
      </c>
      <c r="Y40" s="302">
        <f t="shared" si="15"/>
        <v>-48.301</v>
      </c>
      <c r="Z40" s="302">
        <f t="shared" si="15"/>
        <v>-90.306</v>
      </c>
    </row>
    <row r="41" outlineLevel="1" spans="2:26">
      <c r="B41" s="4"/>
      <c r="C41" s="262" t="s">
        <v>208</v>
      </c>
      <c r="D41" s="181" t="s">
        <v>48</v>
      </c>
      <c r="E41" s="4"/>
      <c r="F41" s="264">
        <v>-5.575</v>
      </c>
      <c r="G41" s="264">
        <v>-5.274</v>
      </c>
      <c r="H41" s="264">
        <v>-5.484</v>
      </c>
      <c r="I41" s="264">
        <v>-6.71</v>
      </c>
      <c r="J41" s="264">
        <v>-6.812</v>
      </c>
      <c r="K41" s="302">
        <f t="shared" ref="K41:U41" si="16">-K92*K$36</f>
        <v>-5.64107645612659</v>
      </c>
      <c r="L41" s="302">
        <f t="shared" si="16"/>
        <v>-6.00233855456129</v>
      </c>
      <c r="M41" s="302">
        <f t="shared" si="16"/>
        <v>-7.75137340741629</v>
      </c>
      <c r="N41" s="302">
        <f t="shared" si="16"/>
        <v>-8.10031649651573</v>
      </c>
      <c r="O41" s="302">
        <f t="shared" si="16"/>
        <v>-6.77612919055953</v>
      </c>
      <c r="P41" s="302">
        <f t="shared" si="16"/>
        <v>-7.14145651892694</v>
      </c>
      <c r="Q41" s="302">
        <f t="shared" si="16"/>
        <v>-9.19341794911531</v>
      </c>
      <c r="R41" s="302">
        <f t="shared" si="16"/>
        <v>-9.57934844431534</v>
      </c>
      <c r="S41" s="302">
        <f t="shared" si="16"/>
        <v>-8.07936765668143</v>
      </c>
      <c r="T41" s="302">
        <f t="shared" si="16"/>
        <v>-8.46445044999284</v>
      </c>
      <c r="U41" s="302">
        <f t="shared" si="16"/>
        <v>-10.8421392190911</v>
      </c>
      <c r="W41" s="302">
        <f t="shared" ref="W41:Z41" si="17">SUMIF($F$25:$U$25,W$25,$F41:$U41)</f>
        <v>-23.043</v>
      </c>
      <c r="X41" s="302">
        <f t="shared" si="17"/>
        <v>-26.2067884181042</v>
      </c>
      <c r="Y41" s="302">
        <f t="shared" si="17"/>
        <v>-31.2113201551175</v>
      </c>
      <c r="Z41" s="302">
        <f t="shared" si="17"/>
        <v>-36.9653057700807</v>
      </c>
    </row>
    <row r="42" outlineLevel="1" spans="3:26">
      <c r="C42" s="262" t="s">
        <v>209</v>
      </c>
      <c r="D42" s="181" t="s">
        <v>48</v>
      </c>
      <c r="F42" s="264">
        <v>-25.843</v>
      </c>
      <c r="G42" s="264">
        <v>-26.323</v>
      </c>
      <c r="H42" s="264">
        <v>-27.493</v>
      </c>
      <c r="I42" s="264">
        <v>-28.122</v>
      </c>
      <c r="J42" s="264">
        <v>-28.207</v>
      </c>
      <c r="K42" s="302">
        <f t="shared" ref="K42:U42" si="18">-K93*K$36</f>
        <v>-28.1551110266629</v>
      </c>
      <c r="L42" s="302">
        <f t="shared" si="18"/>
        <v>-30.0915926113336</v>
      </c>
      <c r="M42" s="302">
        <f t="shared" si="18"/>
        <v>-32.486456477401</v>
      </c>
      <c r="N42" s="302">
        <f t="shared" si="18"/>
        <v>-33.5416364382295</v>
      </c>
      <c r="O42" s="302">
        <f t="shared" si="18"/>
        <v>-33.8202595151874</v>
      </c>
      <c r="P42" s="302">
        <f t="shared" si="18"/>
        <v>-35.8023457466919</v>
      </c>
      <c r="Q42" s="302">
        <f t="shared" si="18"/>
        <v>-38.5301489664711</v>
      </c>
      <c r="R42" s="302">
        <f t="shared" si="18"/>
        <v>-39.6659837887262</v>
      </c>
      <c r="S42" s="302">
        <f t="shared" si="18"/>
        <v>-40.3248378511235</v>
      </c>
      <c r="T42" s="302">
        <f t="shared" si="18"/>
        <v>-42.4349263715633</v>
      </c>
      <c r="U42" s="302">
        <f t="shared" si="18"/>
        <v>-45.4400356362565</v>
      </c>
      <c r="W42" s="302">
        <f t="shared" ref="W42:Z42" si="19">SUMIF($F$25:$U$25,W$25,$F42:$U42)</f>
        <v>-107.781</v>
      </c>
      <c r="X42" s="302">
        <f t="shared" si="19"/>
        <v>-118.940160115398</v>
      </c>
      <c r="Y42" s="302">
        <f t="shared" si="19"/>
        <v>-141.69439066658</v>
      </c>
      <c r="Z42" s="302">
        <f t="shared" si="19"/>
        <v>-167.865783647669</v>
      </c>
    </row>
    <row r="43" outlineLevel="1" spans="3:26">
      <c r="C43" s="262" t="s">
        <v>548</v>
      </c>
      <c r="D43" s="200" t="s">
        <v>48</v>
      </c>
      <c r="F43" s="264">
        <v>-2.349</v>
      </c>
      <c r="G43" s="264">
        <v>-3.193</v>
      </c>
      <c r="H43" s="264">
        <v>-0.8</v>
      </c>
      <c r="I43" s="264">
        <v>-5.439</v>
      </c>
      <c r="J43" s="264">
        <v>-2.705</v>
      </c>
      <c r="K43" s="303">
        <f t="shared" ref="K43:U43" si="20">-K35*K77</f>
        <v>-3.00657075351967</v>
      </c>
      <c r="L43" s="303">
        <f t="shared" si="20"/>
        <v>-1.14927988039597</v>
      </c>
      <c r="M43" s="303">
        <f t="shared" si="20"/>
        <v>-5.3905266491871</v>
      </c>
      <c r="N43" s="303">
        <f t="shared" si="20"/>
        <v>-2.49886619823865</v>
      </c>
      <c r="O43" s="303">
        <f t="shared" si="20"/>
        <v>-3.12683358366045</v>
      </c>
      <c r="P43" s="303">
        <f t="shared" si="20"/>
        <v>-1.18950467620983</v>
      </c>
      <c r="Q43" s="303">
        <f t="shared" si="20"/>
        <v>-5.57919508190865</v>
      </c>
      <c r="R43" s="303">
        <f t="shared" si="20"/>
        <v>-2.57383218418581</v>
      </c>
      <c r="S43" s="303">
        <f t="shared" si="20"/>
        <v>-3.22063859117027</v>
      </c>
      <c r="T43" s="303">
        <f t="shared" si="20"/>
        <v>-1.21924229311508</v>
      </c>
      <c r="U43" s="303">
        <f t="shared" si="20"/>
        <v>-5.71867495895637</v>
      </c>
      <c r="W43" s="303">
        <f t="shared" ref="W43:Z43" si="21">SUMIF($F$25:$U$25,W$25,$F43:$U43)</f>
        <v>-11.781</v>
      </c>
      <c r="X43" s="303">
        <f t="shared" si="21"/>
        <v>-12.2513772831027</v>
      </c>
      <c r="Y43" s="303">
        <f t="shared" si="21"/>
        <v>-12.3943995400176</v>
      </c>
      <c r="Z43" s="303">
        <f t="shared" si="21"/>
        <v>-12.7323880274275</v>
      </c>
    </row>
    <row r="44" outlineLevel="1" spans="3:26">
      <c r="C44" s="189" t="s">
        <v>211</v>
      </c>
      <c r="D44" s="181" t="s">
        <v>48</v>
      </c>
      <c r="E44" s="212"/>
      <c r="F44" s="272">
        <f t="shared" ref="F44:U44" si="22">SUM(F39:F43)</f>
        <v>-75.038</v>
      </c>
      <c r="G44" s="272">
        <f t="shared" si="22"/>
        <v>-78.563</v>
      </c>
      <c r="H44" s="272">
        <f t="shared" si="22"/>
        <v>-77.946</v>
      </c>
      <c r="I44" s="272">
        <f t="shared" si="22"/>
        <v>-85.302</v>
      </c>
      <c r="J44" s="272">
        <f t="shared" si="22"/>
        <v>-82.925</v>
      </c>
      <c r="K44" s="272">
        <f t="shared" si="22"/>
        <v>-82.5864806363092</v>
      </c>
      <c r="L44" s="272">
        <f t="shared" si="22"/>
        <v>-85.8362460462909</v>
      </c>
      <c r="M44" s="272">
        <f t="shared" si="22"/>
        <v>-98.0544865340044</v>
      </c>
      <c r="N44" s="272">
        <f t="shared" si="22"/>
        <v>-98.4674891329839</v>
      </c>
      <c r="O44" s="272">
        <f t="shared" si="22"/>
        <v>-98.7506984686074</v>
      </c>
      <c r="P44" s="272">
        <f t="shared" si="22"/>
        <v>-102.072956081829</v>
      </c>
      <c r="Q44" s="272">
        <f t="shared" si="22"/>
        <v>-115.864816447495</v>
      </c>
      <c r="R44" s="272">
        <f t="shared" si="22"/>
        <v>-116.272783097227</v>
      </c>
      <c r="S44" s="272">
        <f t="shared" si="22"/>
        <v>-117.28174411143</v>
      </c>
      <c r="T44" s="272">
        <f t="shared" si="22"/>
        <v>-120.920094851231</v>
      </c>
      <c r="U44" s="272">
        <f t="shared" si="22"/>
        <v>-136.183152917704</v>
      </c>
      <c r="W44" s="269">
        <f t="shared" ref="W44:Z44" si="23">SUM(W39:W43)</f>
        <v>-316.849</v>
      </c>
      <c r="X44" s="269">
        <f t="shared" si="23"/>
        <v>-349.402213216604</v>
      </c>
      <c r="Y44" s="269">
        <f t="shared" si="23"/>
        <v>-415.155960130915</v>
      </c>
      <c r="Z44" s="269">
        <f t="shared" si="23"/>
        <v>-490.657774977592</v>
      </c>
    </row>
    <row r="45" outlineLevel="1" spans="7:26">
      <c r="G45" s="273"/>
      <c r="X45" s="309"/>
      <c r="Y45" s="309"/>
      <c r="Z45" s="309"/>
    </row>
    <row r="46" outlineLevel="1" spans="3:26">
      <c r="C46" s="193" t="s">
        <v>212</v>
      </c>
      <c r="D46" s="181" t="s">
        <v>48</v>
      </c>
      <c r="F46" s="269">
        <f t="shared" ref="F46:U46" si="24">+F36+F44</f>
        <v>49.111</v>
      </c>
      <c r="G46" s="269">
        <f t="shared" si="24"/>
        <v>49.975</v>
      </c>
      <c r="H46" s="269">
        <f t="shared" si="24"/>
        <v>56.38</v>
      </c>
      <c r="I46" s="269">
        <f t="shared" si="24"/>
        <v>56.386</v>
      </c>
      <c r="J46" s="269">
        <f t="shared" si="24"/>
        <v>56.559</v>
      </c>
      <c r="K46" s="269">
        <f t="shared" si="24"/>
        <v>54.8979117636908</v>
      </c>
      <c r="L46" s="269">
        <f t="shared" si="24"/>
        <v>61.1860239537091</v>
      </c>
      <c r="M46" s="269">
        <f t="shared" si="24"/>
        <v>65.6230984659956</v>
      </c>
      <c r="N46" s="269">
        <f t="shared" si="24"/>
        <v>67.3963608670161</v>
      </c>
      <c r="O46" s="269">
        <f t="shared" si="24"/>
        <v>66.3972146705926</v>
      </c>
      <c r="P46" s="269">
        <f t="shared" si="24"/>
        <v>72.8510571131713</v>
      </c>
      <c r="Q46" s="269">
        <f t="shared" si="24"/>
        <v>78.262903727505</v>
      </c>
      <c r="R46" s="269">
        <f t="shared" si="24"/>
        <v>79.8760481427727</v>
      </c>
      <c r="S46" s="269">
        <f t="shared" si="24"/>
        <v>79.6287147157448</v>
      </c>
      <c r="T46" s="269">
        <f t="shared" si="24"/>
        <v>86.4095497778238</v>
      </c>
      <c r="U46" s="269">
        <f t="shared" si="24"/>
        <v>92.758877138121</v>
      </c>
      <c r="W46" s="269">
        <f t="shared" ref="W46:Z46" si="25">+W36+W44</f>
        <v>211.852</v>
      </c>
      <c r="X46" s="269">
        <f t="shared" si="25"/>
        <v>238.266034183395</v>
      </c>
      <c r="Y46" s="269">
        <f t="shared" si="25"/>
        <v>284.907536378285</v>
      </c>
      <c r="Z46" s="269">
        <f t="shared" si="25"/>
        <v>338.673189774462</v>
      </c>
    </row>
    <row r="47" outlineLevel="1" spans="6:6">
      <c r="F47" s="274"/>
    </row>
    <row r="48" outlineLevel="1" spans="3:26">
      <c r="C48" s="51" t="s">
        <v>214</v>
      </c>
      <c r="D48" s="181" t="s">
        <v>48</v>
      </c>
      <c r="F48" s="264">
        <v>0</v>
      </c>
      <c r="G48" s="264">
        <v>23.064</v>
      </c>
      <c r="H48" s="264">
        <v>-0.231</v>
      </c>
      <c r="I48" s="264">
        <v>0</v>
      </c>
      <c r="J48" s="264">
        <v>0</v>
      </c>
      <c r="K48" s="306">
        <v>0</v>
      </c>
      <c r="L48" s="307">
        <f t="shared" ref="L48:U48" si="26">+K48</f>
        <v>0</v>
      </c>
      <c r="M48" s="307">
        <f t="shared" si="26"/>
        <v>0</v>
      </c>
      <c r="N48" s="307">
        <f t="shared" si="26"/>
        <v>0</v>
      </c>
      <c r="O48" s="308">
        <f t="shared" si="26"/>
        <v>0</v>
      </c>
      <c r="P48" s="308">
        <f t="shared" si="26"/>
        <v>0</v>
      </c>
      <c r="Q48" s="308">
        <f t="shared" si="26"/>
        <v>0</v>
      </c>
      <c r="R48" s="308">
        <f t="shared" si="26"/>
        <v>0</v>
      </c>
      <c r="S48" s="308">
        <f t="shared" si="26"/>
        <v>0</v>
      </c>
      <c r="T48" s="308">
        <f t="shared" si="26"/>
        <v>0</v>
      </c>
      <c r="U48" s="308">
        <f t="shared" si="26"/>
        <v>0</v>
      </c>
      <c r="W48" s="302">
        <f t="shared" ref="W48:Z48" si="27">SUMIF($F$25:$U$25,W$25,$F48:$U48)</f>
        <v>22.833</v>
      </c>
      <c r="X48" s="302">
        <f t="shared" si="27"/>
        <v>0</v>
      </c>
      <c r="Y48" s="302">
        <f t="shared" si="27"/>
        <v>0</v>
      </c>
      <c r="Z48" s="302">
        <f t="shared" si="27"/>
        <v>0</v>
      </c>
    </row>
    <row r="49" outlineLevel="1" spans="3:26">
      <c r="C49" s="51" t="s">
        <v>215</v>
      </c>
      <c r="D49" s="181" t="s">
        <v>48</v>
      </c>
      <c r="F49" s="264">
        <v>-12.414</v>
      </c>
      <c r="G49" s="264">
        <f>-11.563-0.919</f>
        <v>-12.482</v>
      </c>
      <c r="H49" s="264">
        <f>-12.935-1.016</f>
        <v>-13.951</v>
      </c>
      <c r="I49" s="264">
        <f>-12.227-0.932</f>
        <v>-13.159</v>
      </c>
      <c r="J49" s="264">
        <v>-12.284</v>
      </c>
      <c r="K49" s="289">
        <f>-J122*K95/Num_Periods</f>
        <v>-13.3742805</v>
      </c>
      <c r="L49" s="289">
        <f>-K122*L95/Num_Periods</f>
        <v>-14.2460368767727</v>
      </c>
      <c r="M49" s="289">
        <f>-L122*M95/Num_Periods</f>
        <v>-15.2345648217653</v>
      </c>
      <c r="N49" s="289">
        <f>-M122*N95/Num_Periods</f>
        <v>-15.5910460621654</v>
      </c>
      <c r="O49" s="289">
        <f>-N122*O95/Num_Periods</f>
        <v>-16.4714483448193</v>
      </c>
      <c r="P49" s="289">
        <f>-O122*P95/Num_Periods</f>
        <v>-17.1125509949096</v>
      </c>
      <c r="Q49" s="289">
        <f>-P122*Q95/Num_Periods</f>
        <v>-18.21417902783</v>
      </c>
      <c r="R49" s="289">
        <f>-Q122*R95/Num_Periods</f>
        <v>-18.9610845137753</v>
      </c>
      <c r="S49" s="289">
        <f>-R122*S95/Num_Periods</f>
        <v>-19.4651039328783</v>
      </c>
      <c r="T49" s="289">
        <f>-S122*T95/Num_Periods</f>
        <v>-20.646205432153</v>
      </c>
      <c r="U49" s="289">
        <f>-T122*U95/Num_Periods</f>
        <v>-21.4003599280202</v>
      </c>
      <c r="W49" s="302">
        <f t="shared" ref="W49:Z49" si="28">SUMIF($F$25:$U$25,W$25,$F49:$U49)</f>
        <v>-52.006</v>
      </c>
      <c r="X49" s="302">
        <f t="shared" si="28"/>
        <v>-55.138882198538</v>
      </c>
      <c r="Y49" s="302">
        <f t="shared" si="28"/>
        <v>-67.3892244297243</v>
      </c>
      <c r="Z49" s="302">
        <f t="shared" si="28"/>
        <v>-80.4727538068268</v>
      </c>
    </row>
    <row r="50" outlineLevel="1" spans="3:21">
      <c r="C50" s="51" t="s">
        <v>549</v>
      </c>
      <c r="D50" s="181" t="s">
        <v>48</v>
      </c>
      <c r="F50" s="264">
        <v>0</v>
      </c>
      <c r="G50" s="264">
        <v>0</v>
      </c>
      <c r="H50" s="264">
        <v>-1.232</v>
      </c>
      <c r="I50" s="264">
        <v>0</v>
      </c>
      <c r="J50" s="264">
        <v>0</v>
      </c>
      <c r="K50" s="306">
        <v>0</v>
      </c>
      <c r="L50" s="307">
        <f t="shared" ref="L50:U50" si="29">+K50</f>
        <v>0</v>
      </c>
      <c r="M50" s="307">
        <f t="shared" si="29"/>
        <v>0</v>
      </c>
      <c r="N50" s="307">
        <f t="shared" si="29"/>
        <v>0</v>
      </c>
      <c r="O50" s="308">
        <f t="shared" si="29"/>
        <v>0</v>
      </c>
      <c r="P50" s="308">
        <f t="shared" si="29"/>
        <v>0</v>
      </c>
      <c r="Q50" s="308">
        <f t="shared" si="29"/>
        <v>0</v>
      </c>
      <c r="R50" s="308">
        <f t="shared" si="29"/>
        <v>0</v>
      </c>
      <c r="S50" s="308">
        <f t="shared" si="29"/>
        <v>0</v>
      </c>
      <c r="T50" s="308">
        <f t="shared" si="29"/>
        <v>0</v>
      </c>
      <c r="U50" s="308">
        <f t="shared" si="29"/>
        <v>0</v>
      </c>
    </row>
    <row r="51" outlineLevel="1"/>
    <row r="52" outlineLevel="1" spans="3:26">
      <c r="C52" s="193" t="s">
        <v>219</v>
      </c>
      <c r="D52" s="181" t="s">
        <v>48</v>
      </c>
      <c r="F52" s="269">
        <f t="shared" ref="F52:U52" si="30">+F46+SUM(F48:F50)</f>
        <v>36.697</v>
      </c>
      <c r="G52" s="269">
        <f t="shared" si="30"/>
        <v>60.557</v>
      </c>
      <c r="H52" s="269">
        <f t="shared" si="30"/>
        <v>40.966</v>
      </c>
      <c r="I52" s="269">
        <f t="shared" si="30"/>
        <v>43.227</v>
      </c>
      <c r="J52" s="269">
        <f t="shared" si="30"/>
        <v>44.275</v>
      </c>
      <c r="K52" s="269">
        <f t="shared" si="30"/>
        <v>41.5236312636908</v>
      </c>
      <c r="L52" s="269">
        <f t="shared" si="30"/>
        <v>46.9399870769364</v>
      </c>
      <c r="M52" s="269">
        <f t="shared" si="30"/>
        <v>50.3885336442303</v>
      </c>
      <c r="N52" s="269">
        <f t="shared" si="30"/>
        <v>51.8053148048507</v>
      </c>
      <c r="O52" s="269">
        <f t="shared" si="30"/>
        <v>49.9257663257733</v>
      </c>
      <c r="P52" s="269">
        <f t="shared" si="30"/>
        <v>55.7385061182617</v>
      </c>
      <c r="Q52" s="269">
        <f t="shared" si="30"/>
        <v>60.048724699675</v>
      </c>
      <c r="R52" s="269">
        <f t="shared" si="30"/>
        <v>60.9149636289974</v>
      </c>
      <c r="S52" s="269">
        <f t="shared" si="30"/>
        <v>60.1636107828664</v>
      </c>
      <c r="T52" s="269">
        <f t="shared" si="30"/>
        <v>65.7633443456708</v>
      </c>
      <c r="U52" s="269">
        <f t="shared" si="30"/>
        <v>71.3585172101008</v>
      </c>
      <c r="W52" s="269">
        <f t="shared" ref="W52:Z52" si="31">+W46+SUM(W48:W49)</f>
        <v>182.679</v>
      </c>
      <c r="X52" s="269">
        <f t="shared" si="31"/>
        <v>183.127151984857</v>
      </c>
      <c r="Y52" s="269">
        <f t="shared" si="31"/>
        <v>217.518311948561</v>
      </c>
      <c r="Z52" s="269">
        <f t="shared" si="31"/>
        <v>258.200435967635</v>
      </c>
    </row>
    <row r="53" outlineLevel="1" spans="3:26">
      <c r="C53" s="51" t="s">
        <v>220</v>
      </c>
      <c r="D53" s="200" t="s">
        <v>48</v>
      </c>
      <c r="F53" s="264">
        <v>0</v>
      </c>
      <c r="G53" s="264">
        <v>0</v>
      </c>
      <c r="H53" s="264">
        <v>0</v>
      </c>
      <c r="I53" s="264">
        <v>0</v>
      </c>
      <c r="J53" s="264">
        <v>0</v>
      </c>
      <c r="K53" s="309">
        <f t="shared" ref="K53:U53" si="32">-K52*K98</f>
        <v>0</v>
      </c>
      <c r="L53" s="309">
        <f t="shared" si="32"/>
        <v>0</v>
      </c>
      <c r="M53" s="309">
        <f t="shared" si="32"/>
        <v>0</v>
      </c>
      <c r="N53" s="309">
        <f t="shared" si="32"/>
        <v>0</v>
      </c>
      <c r="O53" s="310">
        <f t="shared" si="32"/>
        <v>0</v>
      </c>
      <c r="P53" s="310">
        <f t="shared" si="32"/>
        <v>0</v>
      </c>
      <c r="Q53" s="310">
        <f t="shared" si="32"/>
        <v>0</v>
      </c>
      <c r="R53" s="310">
        <f t="shared" si="32"/>
        <v>0</v>
      </c>
      <c r="S53" s="310">
        <f t="shared" si="32"/>
        <v>0</v>
      </c>
      <c r="T53" s="310">
        <f t="shared" si="32"/>
        <v>0</v>
      </c>
      <c r="U53" s="310">
        <f t="shared" si="32"/>
        <v>0</v>
      </c>
      <c r="W53" s="303">
        <f t="shared" ref="W53:Z53" si="33">SUMIF($F$25:$U$25,W$25,$F53:$U53)</f>
        <v>0</v>
      </c>
      <c r="X53" s="303">
        <f t="shared" si="33"/>
        <v>0</v>
      </c>
      <c r="Y53" s="303">
        <f t="shared" si="33"/>
        <v>0</v>
      </c>
      <c r="Z53" s="303">
        <f t="shared" si="33"/>
        <v>0</v>
      </c>
    </row>
    <row r="54" outlineLevel="1" spans="3:26">
      <c r="C54" s="189" t="s">
        <v>221</v>
      </c>
      <c r="D54" s="181" t="s">
        <v>48</v>
      </c>
      <c r="E54" s="212"/>
      <c r="F54" s="272">
        <f t="shared" ref="F54:U54" si="34">SUM(F52:F53)</f>
        <v>36.697</v>
      </c>
      <c r="G54" s="272">
        <f t="shared" si="34"/>
        <v>60.557</v>
      </c>
      <c r="H54" s="272">
        <f t="shared" si="34"/>
        <v>40.966</v>
      </c>
      <c r="I54" s="272">
        <f t="shared" si="34"/>
        <v>43.227</v>
      </c>
      <c r="J54" s="272">
        <f t="shared" si="34"/>
        <v>44.275</v>
      </c>
      <c r="K54" s="272">
        <f t="shared" si="34"/>
        <v>41.5236312636908</v>
      </c>
      <c r="L54" s="272">
        <f t="shared" si="34"/>
        <v>46.9399870769364</v>
      </c>
      <c r="M54" s="272">
        <f t="shared" si="34"/>
        <v>50.3885336442303</v>
      </c>
      <c r="N54" s="272">
        <f t="shared" si="34"/>
        <v>51.8053148048507</v>
      </c>
      <c r="O54" s="272">
        <f t="shared" si="34"/>
        <v>49.9257663257733</v>
      </c>
      <c r="P54" s="272">
        <f t="shared" si="34"/>
        <v>55.7385061182617</v>
      </c>
      <c r="Q54" s="272">
        <f t="shared" si="34"/>
        <v>60.048724699675</v>
      </c>
      <c r="R54" s="272">
        <f t="shared" si="34"/>
        <v>60.9149636289974</v>
      </c>
      <c r="S54" s="272">
        <f t="shared" si="34"/>
        <v>60.1636107828664</v>
      </c>
      <c r="T54" s="272">
        <f t="shared" si="34"/>
        <v>65.7633443456708</v>
      </c>
      <c r="U54" s="272">
        <f t="shared" si="34"/>
        <v>71.3585172101008</v>
      </c>
      <c r="W54" s="269">
        <f t="shared" ref="W54:Z54" si="35">SUM(W52:W53)</f>
        <v>182.679</v>
      </c>
      <c r="X54" s="269">
        <f t="shared" si="35"/>
        <v>183.127151984857</v>
      </c>
      <c r="Y54" s="269">
        <f t="shared" si="35"/>
        <v>217.518311948561</v>
      </c>
      <c r="Z54" s="269">
        <f t="shared" si="35"/>
        <v>258.200435967635</v>
      </c>
    </row>
    <row r="55" outlineLevel="1" spans="3:26">
      <c r="C55" s="51" t="s">
        <v>222</v>
      </c>
      <c r="D55" s="200" t="s">
        <v>48</v>
      </c>
      <c r="F55" s="275">
        <v>-5.478</v>
      </c>
      <c r="G55" s="275">
        <v>-7.467</v>
      </c>
      <c r="H55" s="275">
        <v>-5.144</v>
      </c>
      <c r="I55" s="275">
        <v>-6.159</v>
      </c>
      <c r="J55" s="275">
        <v>-5.712</v>
      </c>
      <c r="K55" s="311">
        <f t="shared" ref="K55:U55" si="36">+F55*(1+K100)</f>
        <v>-6.5736</v>
      </c>
      <c r="L55" s="311">
        <f t="shared" si="36"/>
        <v>-8.58705</v>
      </c>
      <c r="M55" s="311">
        <f t="shared" si="36"/>
        <v>-5.6584</v>
      </c>
      <c r="N55" s="311">
        <f t="shared" si="36"/>
        <v>-6.46695</v>
      </c>
      <c r="O55" s="311">
        <f t="shared" si="36"/>
        <v>-5.9976</v>
      </c>
      <c r="P55" s="311">
        <f t="shared" si="36"/>
        <v>-6.90228</v>
      </c>
      <c r="Q55" s="311">
        <f t="shared" si="36"/>
        <v>-9.0164025</v>
      </c>
      <c r="R55" s="311">
        <f t="shared" si="36"/>
        <v>-5.94132</v>
      </c>
      <c r="S55" s="311">
        <f t="shared" si="36"/>
        <v>-6.7902975</v>
      </c>
      <c r="T55" s="311">
        <f t="shared" si="36"/>
        <v>-6.29748</v>
      </c>
      <c r="U55" s="311">
        <f t="shared" si="36"/>
        <v>-7.247394</v>
      </c>
      <c r="W55" s="311">
        <f t="shared" ref="W55:Z55" si="37">SUMIF($F$25:$U$25,W$25,$F55:$U55)</f>
        <v>-24.248</v>
      </c>
      <c r="X55" s="311">
        <f t="shared" si="37"/>
        <v>-26.53105</v>
      </c>
      <c r="Y55" s="311">
        <f t="shared" si="37"/>
        <v>-28.3832325</v>
      </c>
      <c r="Z55" s="311">
        <f t="shared" si="37"/>
        <v>-26.2764915</v>
      </c>
    </row>
    <row r="56" outlineLevel="1" spans="3:26">
      <c r="C56" s="189" t="s">
        <v>223</v>
      </c>
      <c r="D56" s="181" t="s">
        <v>48</v>
      </c>
      <c r="E56" s="212"/>
      <c r="F56" s="272">
        <f t="shared" ref="F56:U56" si="38">SUM(F54:F55)</f>
        <v>31.219</v>
      </c>
      <c r="G56" s="272">
        <f t="shared" si="38"/>
        <v>53.09</v>
      </c>
      <c r="H56" s="272">
        <f t="shared" si="38"/>
        <v>35.822</v>
      </c>
      <c r="I56" s="272">
        <f t="shared" si="38"/>
        <v>37.068</v>
      </c>
      <c r="J56" s="272">
        <f t="shared" si="38"/>
        <v>38.563</v>
      </c>
      <c r="K56" s="269">
        <f t="shared" si="38"/>
        <v>34.9500312636908</v>
      </c>
      <c r="L56" s="269">
        <f t="shared" si="38"/>
        <v>38.3529370769364</v>
      </c>
      <c r="M56" s="269">
        <f t="shared" si="38"/>
        <v>44.7301336442303</v>
      </c>
      <c r="N56" s="269">
        <f t="shared" si="38"/>
        <v>45.3383648048507</v>
      </c>
      <c r="O56" s="269">
        <f t="shared" si="38"/>
        <v>43.9281663257733</v>
      </c>
      <c r="P56" s="269">
        <f t="shared" si="38"/>
        <v>48.8362261182617</v>
      </c>
      <c r="Q56" s="269">
        <f t="shared" si="38"/>
        <v>51.032322199675</v>
      </c>
      <c r="R56" s="269">
        <f t="shared" si="38"/>
        <v>54.9736436289974</v>
      </c>
      <c r="S56" s="269">
        <f t="shared" si="38"/>
        <v>53.3733132828664</v>
      </c>
      <c r="T56" s="269">
        <f t="shared" si="38"/>
        <v>59.4658643456708</v>
      </c>
      <c r="U56" s="269">
        <f t="shared" si="38"/>
        <v>64.1111232101008</v>
      </c>
      <c r="W56" s="269">
        <f t="shared" ref="W56:Z56" si="39">SUM(W54:W55)</f>
        <v>158.431</v>
      </c>
      <c r="X56" s="269">
        <f t="shared" si="39"/>
        <v>156.596101984857</v>
      </c>
      <c r="Y56" s="269">
        <f t="shared" si="39"/>
        <v>189.135079448561</v>
      </c>
      <c r="Z56" s="269">
        <f t="shared" si="39"/>
        <v>231.923944467635</v>
      </c>
    </row>
    <row r="57" outlineLevel="1" spans="3:26">
      <c r="C57" s="51" t="s">
        <v>224</v>
      </c>
      <c r="D57" s="181" t="s">
        <v>48</v>
      </c>
      <c r="F57" s="275">
        <v>-6.811</v>
      </c>
      <c r="G57" s="275">
        <v>-6.964</v>
      </c>
      <c r="H57" s="275">
        <v>-3.63</v>
      </c>
      <c r="I57" s="275">
        <v>-3.334</v>
      </c>
      <c r="J57" s="275">
        <v>-3.333</v>
      </c>
      <c r="K57" s="309">
        <f>-J128*K96/Num_Periods</f>
        <v>-3.333</v>
      </c>
      <c r="L57" s="309">
        <f>-K128*L96/Num_Periods</f>
        <v>-3.333</v>
      </c>
      <c r="M57" s="309">
        <f>-L128*M96/Num_Periods</f>
        <v>-3.333</v>
      </c>
      <c r="N57" s="309">
        <f>-M128*N96/Num_Periods</f>
        <v>-3.333</v>
      </c>
      <c r="O57" s="309">
        <f>-N128*O96/Num_Periods</f>
        <v>-3.333</v>
      </c>
      <c r="P57" s="309">
        <f>-O128*P96/Num_Periods</f>
        <v>-3.333</v>
      </c>
      <c r="Q57" s="309">
        <f>-P128*Q96/Num_Periods</f>
        <v>-3.333</v>
      </c>
      <c r="R57" s="309">
        <f>-Q128*R96/Num_Periods</f>
        <v>-3.333</v>
      </c>
      <c r="S57" s="309">
        <f>-R128*S96/Num_Periods</f>
        <v>-3.333</v>
      </c>
      <c r="T57" s="309">
        <f>-S128*T96/Num_Periods</f>
        <v>-3.333</v>
      </c>
      <c r="U57" s="309">
        <f>-T128*U96/Num_Periods</f>
        <v>-3.333</v>
      </c>
      <c r="W57" s="309">
        <f t="shared" ref="W57:Z57" si="40">SUMIF($F$25:$U$25,W$25,$F57:$U57)</f>
        <v>-20.739</v>
      </c>
      <c r="X57" s="309">
        <f t="shared" si="40"/>
        <v>-13.332</v>
      </c>
      <c r="Y57" s="309">
        <f t="shared" si="40"/>
        <v>-13.332</v>
      </c>
      <c r="Z57" s="309">
        <f t="shared" si="40"/>
        <v>-13.332</v>
      </c>
    </row>
    <row r="58" outlineLevel="1" spans="3:26">
      <c r="C58" s="51" t="s">
        <v>226</v>
      </c>
      <c r="D58" s="200" t="s">
        <v>48</v>
      </c>
      <c r="F58" s="275">
        <v>0</v>
      </c>
      <c r="G58" s="275">
        <v>-8.827</v>
      </c>
      <c r="H58" s="275">
        <v>-3.668</v>
      </c>
      <c r="I58" s="275">
        <v>0</v>
      </c>
      <c r="J58" s="275">
        <v>0</v>
      </c>
      <c r="K58" s="306">
        <v>0</v>
      </c>
      <c r="L58" s="307">
        <f t="shared" ref="L58:U58" si="41">+K58</f>
        <v>0</v>
      </c>
      <c r="M58" s="307">
        <f t="shared" si="41"/>
        <v>0</v>
      </c>
      <c r="N58" s="307">
        <f t="shared" si="41"/>
        <v>0</v>
      </c>
      <c r="O58" s="308">
        <f t="shared" si="41"/>
        <v>0</v>
      </c>
      <c r="P58" s="308">
        <f t="shared" si="41"/>
        <v>0</v>
      </c>
      <c r="Q58" s="308">
        <f t="shared" si="41"/>
        <v>0</v>
      </c>
      <c r="R58" s="308">
        <f t="shared" si="41"/>
        <v>0</v>
      </c>
      <c r="S58" s="308">
        <f t="shared" si="41"/>
        <v>0</v>
      </c>
      <c r="T58" s="308">
        <f t="shared" si="41"/>
        <v>0</v>
      </c>
      <c r="U58" s="308">
        <f t="shared" si="41"/>
        <v>0</v>
      </c>
      <c r="W58" s="309">
        <f t="shared" ref="W58:Z58" si="42">SUMIF($F$25:$U$25,W$25,$F58:$U58)</f>
        <v>-12.495</v>
      </c>
      <c r="X58" s="309">
        <f t="shared" si="42"/>
        <v>0</v>
      </c>
      <c r="Y58" s="309">
        <f t="shared" si="42"/>
        <v>0</v>
      </c>
      <c r="Z58" s="309">
        <f t="shared" si="42"/>
        <v>0</v>
      </c>
    </row>
    <row r="59" outlineLevel="1" spans="3:26">
      <c r="C59" s="189" t="s">
        <v>227</v>
      </c>
      <c r="D59" s="181" t="s">
        <v>48</v>
      </c>
      <c r="E59" s="212"/>
      <c r="F59" s="276">
        <f t="shared" ref="F59:U59" si="43">SUM(F56:F58)</f>
        <v>24.408</v>
      </c>
      <c r="G59" s="276">
        <f t="shared" si="43"/>
        <v>37.299</v>
      </c>
      <c r="H59" s="276">
        <f t="shared" si="43"/>
        <v>28.524</v>
      </c>
      <c r="I59" s="276">
        <f t="shared" si="43"/>
        <v>33.734</v>
      </c>
      <c r="J59" s="276">
        <f t="shared" si="43"/>
        <v>35.23</v>
      </c>
      <c r="K59" s="276">
        <f t="shared" si="43"/>
        <v>31.6170312636908</v>
      </c>
      <c r="L59" s="276">
        <f t="shared" si="43"/>
        <v>35.0199370769364</v>
      </c>
      <c r="M59" s="276">
        <f t="shared" si="43"/>
        <v>41.3971336442303</v>
      </c>
      <c r="N59" s="276">
        <f t="shared" si="43"/>
        <v>42.0053648048507</v>
      </c>
      <c r="O59" s="276">
        <f t="shared" si="43"/>
        <v>40.5951663257733</v>
      </c>
      <c r="P59" s="276">
        <f t="shared" si="43"/>
        <v>45.5032261182617</v>
      </c>
      <c r="Q59" s="276">
        <f t="shared" si="43"/>
        <v>47.699322199675</v>
      </c>
      <c r="R59" s="276">
        <f t="shared" si="43"/>
        <v>51.6406436289974</v>
      </c>
      <c r="S59" s="276">
        <f t="shared" si="43"/>
        <v>50.0403132828664</v>
      </c>
      <c r="T59" s="276">
        <f t="shared" si="43"/>
        <v>56.1328643456708</v>
      </c>
      <c r="U59" s="276">
        <f t="shared" si="43"/>
        <v>60.7781232101008</v>
      </c>
      <c r="W59" s="276">
        <f t="shared" ref="W59:Z59" si="44">SUM(W56:W58)</f>
        <v>125.197</v>
      </c>
      <c r="X59" s="276">
        <f t="shared" si="44"/>
        <v>143.264101984857</v>
      </c>
      <c r="Y59" s="276">
        <f t="shared" si="44"/>
        <v>175.803079448561</v>
      </c>
      <c r="Z59" s="276">
        <f t="shared" si="44"/>
        <v>218.591944467635</v>
      </c>
    </row>
    <row r="60" outlineLevel="1" spans="6:10">
      <c r="F60" s="277"/>
      <c r="I60" s="309"/>
      <c r="J60" s="309"/>
    </row>
    <row r="61" outlineLevel="1" spans="3:26">
      <c r="C61" s="11" t="s">
        <v>228</v>
      </c>
      <c r="D61" s="9" t="s">
        <v>229</v>
      </c>
      <c r="F61" s="278">
        <v>67.846115</v>
      </c>
      <c r="G61" s="278">
        <v>75.231634</v>
      </c>
      <c r="H61" s="278">
        <v>76.095994</v>
      </c>
      <c r="I61" s="278">
        <v>76.122581</v>
      </c>
      <c r="J61" s="278">
        <v>77.651406</v>
      </c>
      <c r="K61" s="312">
        <f t="shared" ref="K61:U61" si="45">+J61+K215</f>
        <v>77.7580618383573</v>
      </c>
      <c r="L61" s="312">
        <f t="shared" si="45"/>
        <v>77.8827457394801</v>
      </c>
      <c r="M61" s="312">
        <f t="shared" si="45"/>
        <v>77.9540619561008</v>
      </c>
      <c r="N61" s="312">
        <f t="shared" si="45"/>
        <v>78.0498206965676</v>
      </c>
      <c r="O61" s="312">
        <f t="shared" si="45"/>
        <v>78.1749489324913</v>
      </c>
      <c r="P61" s="312">
        <f t="shared" si="45"/>
        <v>78.3053185293806</v>
      </c>
      <c r="Q61" s="312">
        <f t="shared" si="45"/>
        <v>78.3636110478832</v>
      </c>
      <c r="R61" s="312">
        <f t="shared" si="45"/>
        <v>78.4574083658491</v>
      </c>
      <c r="S61" s="312">
        <f t="shared" si="45"/>
        <v>78.5898863076048</v>
      </c>
      <c r="T61" s="312">
        <f t="shared" si="45"/>
        <v>78.7270437109263</v>
      </c>
      <c r="U61" s="312">
        <f t="shared" si="45"/>
        <v>78.782702533369</v>
      </c>
      <c r="W61" s="312">
        <f t="shared" ref="W61:Z61" si="46">AVERAGEIF($F$25:$U$25,W$25,$F61:$U61)</f>
        <v>73.824081</v>
      </c>
      <c r="X61" s="312">
        <f t="shared" si="46"/>
        <v>77.8115688834846</v>
      </c>
      <c r="Y61" s="312">
        <f t="shared" si="46"/>
        <v>78.2234248015806</v>
      </c>
      <c r="Z61" s="312">
        <f t="shared" si="46"/>
        <v>78.6392602294373</v>
      </c>
    </row>
    <row r="62" outlineLevel="1" spans="3:26">
      <c r="C62" s="11" t="s">
        <v>466</v>
      </c>
      <c r="D62" s="279" t="s">
        <v>65</v>
      </c>
      <c r="F62" s="233">
        <f t="shared" ref="F62:U62" si="47">+F59/F61</f>
        <v>0.359755308023164</v>
      </c>
      <c r="G62" s="233">
        <f t="shared" si="47"/>
        <v>0.49578877949135</v>
      </c>
      <c r="H62" s="233">
        <f t="shared" si="47"/>
        <v>0.37484233401301</v>
      </c>
      <c r="I62" s="233">
        <f t="shared" si="47"/>
        <v>0.443153655023862</v>
      </c>
      <c r="J62" s="233">
        <f t="shared" si="47"/>
        <v>0.453694296275846</v>
      </c>
      <c r="K62" s="233">
        <f t="shared" si="47"/>
        <v>0.406607758941008</v>
      </c>
      <c r="L62" s="233">
        <f t="shared" si="47"/>
        <v>0.44964949225184</v>
      </c>
      <c r="M62" s="233">
        <f t="shared" si="47"/>
        <v>0.53104524133127</v>
      </c>
      <c r="N62" s="233">
        <f t="shared" si="47"/>
        <v>0.538186563786661</v>
      </c>
      <c r="O62" s="233">
        <f t="shared" si="47"/>
        <v>0.519286125288417</v>
      </c>
      <c r="P62" s="233">
        <f t="shared" si="47"/>
        <v>0.581100070504006</v>
      </c>
      <c r="Q62" s="233">
        <f t="shared" si="47"/>
        <v>0.608692243272568</v>
      </c>
      <c r="R62" s="233">
        <f t="shared" si="47"/>
        <v>0.658199712488535</v>
      </c>
      <c r="S62" s="233">
        <f t="shared" si="47"/>
        <v>0.636727136708228</v>
      </c>
      <c r="T62" s="233">
        <f t="shared" si="47"/>
        <v>0.713006124703248</v>
      </c>
      <c r="U62" s="233">
        <f t="shared" si="47"/>
        <v>0.771465324946904</v>
      </c>
      <c r="W62" s="233">
        <f t="shared" ref="W62:Z62" si="48">+W59/W61</f>
        <v>1.69588294637897</v>
      </c>
      <c r="X62" s="233">
        <f t="shared" si="48"/>
        <v>1.84116711744216</v>
      </c>
      <c r="Y62" s="233">
        <f t="shared" si="48"/>
        <v>2.24744799776407</v>
      </c>
      <c r="Z62" s="233">
        <f t="shared" si="48"/>
        <v>2.77967956247138</v>
      </c>
    </row>
    <row r="63" outlineLevel="1"/>
    <row r="64" outlineLevel="1" spans="3:26">
      <c r="C64" s="11" t="s">
        <v>236</v>
      </c>
      <c r="D64" s="9" t="s">
        <v>229</v>
      </c>
      <c r="F64" s="278">
        <v>83.094266</v>
      </c>
      <c r="G64" s="278">
        <v>89.985913</v>
      </c>
      <c r="H64" s="278">
        <v>90.056833</v>
      </c>
      <c r="I64" s="278">
        <v>89.977589</v>
      </c>
      <c r="J64" s="278">
        <v>90.311511</v>
      </c>
      <c r="K64" s="312">
        <f t="shared" ref="K64:U64" si="49">+J64+K215</f>
        <v>90.4181668383574</v>
      </c>
      <c r="L64" s="312">
        <f t="shared" si="49"/>
        <v>90.5428507394801</v>
      </c>
      <c r="M64" s="312">
        <f t="shared" si="49"/>
        <v>90.6141669561008</v>
      </c>
      <c r="N64" s="312">
        <f t="shared" si="49"/>
        <v>90.7099256965676</v>
      </c>
      <c r="O64" s="312">
        <f t="shared" si="49"/>
        <v>90.8350539324913</v>
      </c>
      <c r="P64" s="312">
        <f t="shared" si="49"/>
        <v>90.9654235293806</v>
      </c>
      <c r="Q64" s="312">
        <f t="shared" si="49"/>
        <v>91.0237160478832</v>
      </c>
      <c r="R64" s="312">
        <f t="shared" si="49"/>
        <v>91.1175133658491</v>
      </c>
      <c r="S64" s="312">
        <f t="shared" si="49"/>
        <v>91.2499913076048</v>
      </c>
      <c r="T64" s="312">
        <f t="shared" si="49"/>
        <v>91.3871487109263</v>
      </c>
      <c r="U64" s="312">
        <f t="shared" si="49"/>
        <v>91.442807533369</v>
      </c>
      <c r="W64" s="312">
        <f t="shared" ref="W64:Z64" si="50">AVERAGEIF($F$25:$U$25,W$25,$F64:$U64)</f>
        <v>88.27865025</v>
      </c>
      <c r="X64" s="312">
        <f t="shared" si="50"/>
        <v>90.4716738834846</v>
      </c>
      <c r="Y64" s="312">
        <f t="shared" si="50"/>
        <v>90.8835298015807</v>
      </c>
      <c r="Z64" s="312">
        <f t="shared" si="50"/>
        <v>91.2993652294373</v>
      </c>
    </row>
    <row r="65" outlineLevel="1"/>
    <row r="66" outlineLevel="1" spans="3:26">
      <c r="C66" s="11" t="s">
        <v>467</v>
      </c>
      <c r="D66" s="279" t="s">
        <v>65</v>
      </c>
      <c r="F66" s="197">
        <f t="shared" ref="F66:U66" si="51">+F195/F64</f>
        <v>0.668337331483258</v>
      </c>
      <c r="G66" s="197">
        <f t="shared" si="51"/>
        <v>0.531472076079286</v>
      </c>
      <c r="H66" s="197">
        <f t="shared" si="51"/>
        <v>0.679248847225174</v>
      </c>
      <c r="I66" s="197">
        <f t="shared" si="51"/>
        <v>0.753876612541819</v>
      </c>
      <c r="J66" s="197">
        <f t="shared" si="51"/>
        <v>0.763413204325637</v>
      </c>
      <c r="K66" s="197">
        <f t="shared" si="51"/>
        <v>0.731399721683358</v>
      </c>
      <c r="L66" s="197">
        <f t="shared" si="51"/>
        <v>0.811292007442688</v>
      </c>
      <c r="M66" s="197">
        <f t="shared" si="51"/>
        <v>0.875476668754617</v>
      </c>
      <c r="N66" s="197">
        <f t="shared" si="51"/>
        <v>0.901460002365763</v>
      </c>
      <c r="O66" s="197">
        <f t="shared" si="51"/>
        <v>0.882435346339245</v>
      </c>
      <c r="P66" s="197">
        <f t="shared" si="51"/>
        <v>0.96652172361365</v>
      </c>
      <c r="Q66" s="197">
        <f t="shared" si="51"/>
        <v>1.04363069549636</v>
      </c>
      <c r="R66" s="197">
        <f t="shared" si="51"/>
        <v>1.06413212599074</v>
      </c>
      <c r="S66" s="197">
        <f t="shared" si="51"/>
        <v>1.0613597045646</v>
      </c>
      <c r="T66" s="197">
        <f t="shared" si="51"/>
        <v>1.14375120424021</v>
      </c>
      <c r="U66" s="197">
        <f t="shared" si="51"/>
        <v>1.23760261952898</v>
      </c>
      <c r="W66" s="197">
        <f t="shared" ref="W66:Z66" si="52">+W195/W64</f>
        <v>2.63215397315162</v>
      </c>
      <c r="X66" s="197">
        <f t="shared" si="52"/>
        <v>3.1818147036402</v>
      </c>
      <c r="Y66" s="197">
        <f t="shared" si="52"/>
        <v>3.79433583716583</v>
      </c>
      <c r="Z66" s="197">
        <f t="shared" si="52"/>
        <v>4.50719624966961</v>
      </c>
    </row>
    <row r="67" outlineLevel="1" spans="3:26">
      <c r="C67" s="11" t="s">
        <v>468</v>
      </c>
      <c r="D67" s="279" t="s">
        <v>65</v>
      </c>
      <c r="F67" s="197">
        <f t="shared" ref="F67:U67" si="53">+F203/F64</f>
        <v>0.603723968149619</v>
      </c>
      <c r="G67" s="197">
        <f t="shared" si="53"/>
        <v>0.508712958216026</v>
      </c>
      <c r="H67" s="197">
        <f t="shared" si="53"/>
        <v>0.667389669365788</v>
      </c>
      <c r="I67" s="197">
        <f t="shared" si="53"/>
        <v>0.75453233137865</v>
      </c>
      <c r="J67" s="197">
        <f t="shared" si="53"/>
        <v>0.776578746423587</v>
      </c>
      <c r="K67" s="197">
        <f t="shared" si="53"/>
        <v>0.691552024709751</v>
      </c>
      <c r="L67" s="197">
        <f t="shared" si="53"/>
        <v>0.803811915149128</v>
      </c>
      <c r="M67" s="197">
        <f t="shared" si="53"/>
        <v>0.856953774883976</v>
      </c>
      <c r="N67" s="197">
        <f t="shared" si="53"/>
        <v>0.863898972710851</v>
      </c>
      <c r="O67" s="197">
        <f t="shared" si="53"/>
        <v>0.882855213069343</v>
      </c>
      <c r="P67" s="197">
        <f t="shared" si="53"/>
        <v>0.920550671268723</v>
      </c>
      <c r="Q67" s="197">
        <f t="shared" si="53"/>
        <v>1.03560645417628</v>
      </c>
      <c r="R67" s="197">
        <f t="shared" si="53"/>
        <v>1.00189924224236</v>
      </c>
      <c r="S67" s="197">
        <f t="shared" si="53"/>
        <v>1.0519664461666</v>
      </c>
      <c r="T67" s="197">
        <f t="shared" si="53"/>
        <v>1.14939889285289</v>
      </c>
      <c r="U67" s="197">
        <f t="shared" si="53"/>
        <v>1.1797750935006</v>
      </c>
      <c r="W67" s="197">
        <f t="shared" ref="W67:Z67" si="54">+W203/W64</f>
        <v>2.53670620660628</v>
      </c>
      <c r="X67" s="197">
        <f t="shared" si="54"/>
        <v>3.12909476394964</v>
      </c>
      <c r="Y67" s="197">
        <f t="shared" si="54"/>
        <v>3.70321710398989</v>
      </c>
      <c r="Z67" s="197">
        <f t="shared" si="54"/>
        <v>4.38343388276668</v>
      </c>
    </row>
    <row r="69" spans="2:26">
      <c r="B69" s="254"/>
      <c r="C69" s="254"/>
      <c r="D69" s="255"/>
      <c r="E69" s="256"/>
      <c r="F69" s="257" t="str">
        <f>$F$27</f>
        <v>Historical:</v>
      </c>
      <c r="G69" s="257"/>
      <c r="H69" s="257"/>
      <c r="I69" s="257"/>
      <c r="J69" s="296"/>
      <c r="K69" s="297" t="str">
        <f>$K$27</f>
        <v>Projected:</v>
      </c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W69" s="257" t="str">
        <f>$W$27</f>
        <v>Historical:</v>
      </c>
      <c r="X69" s="297" t="str">
        <f>$X$27</f>
        <v>Projected:</v>
      </c>
      <c r="Y69" s="257"/>
      <c r="Z69" s="257"/>
    </row>
    <row r="70" spans="2:26">
      <c r="B70" s="173" t="s">
        <v>469</v>
      </c>
      <c r="C70" s="173"/>
      <c r="D70" s="174" t="str">
        <f>+$D$5</f>
        <v>Units:</v>
      </c>
      <c r="E70" s="175"/>
      <c r="F70" s="258">
        <f>$F$28</f>
        <v>42460</v>
      </c>
      <c r="G70" s="259">
        <f>$G$28</f>
        <v>42551</v>
      </c>
      <c r="H70" s="260">
        <f>$H$28</f>
        <v>42643</v>
      </c>
      <c r="I70" s="298">
        <f>$I$28</f>
        <v>42735</v>
      </c>
      <c r="J70" s="258">
        <f>$J$28</f>
        <v>42825</v>
      </c>
      <c r="K70" s="299">
        <f>$K$28</f>
        <v>42916</v>
      </c>
      <c r="L70" s="260">
        <f>$L$28</f>
        <v>43008</v>
      </c>
      <c r="M70" s="298">
        <f>$M$28</f>
        <v>43100</v>
      </c>
      <c r="N70" s="258">
        <f>$N$28</f>
        <v>43190</v>
      </c>
      <c r="O70" s="259">
        <f>$O$28</f>
        <v>43281</v>
      </c>
      <c r="P70" s="260">
        <f>$P$28</f>
        <v>43373</v>
      </c>
      <c r="Q70" s="298">
        <f>$Q$28</f>
        <v>43465</v>
      </c>
      <c r="R70" s="258">
        <f>$R$28</f>
        <v>43555</v>
      </c>
      <c r="S70" s="259">
        <f>$S$28</f>
        <v>43646</v>
      </c>
      <c r="T70" s="260">
        <f>$T$28</f>
        <v>43738</v>
      </c>
      <c r="U70" s="298">
        <f>$U$28</f>
        <v>43830</v>
      </c>
      <c r="W70" s="313">
        <f>$W$28</f>
        <v>42735</v>
      </c>
      <c r="X70" s="314">
        <f>$X$28</f>
        <v>43100</v>
      </c>
      <c r="Y70" s="176">
        <f>$Y$28</f>
        <v>43465</v>
      </c>
      <c r="Z70" s="176">
        <f>$Z$28</f>
        <v>43830</v>
      </c>
    </row>
    <row r="71" outlineLevel="1" spans="6:10">
      <c r="F71" s="231"/>
      <c r="G71" s="231"/>
      <c r="H71" s="231"/>
      <c r="I71" s="231"/>
      <c r="J71" s="231"/>
    </row>
    <row r="72" outlineLevel="1" spans="3:26">
      <c r="C72" s="210" t="s">
        <v>470</v>
      </c>
      <c r="D72" s="736" t="s">
        <v>56</v>
      </c>
      <c r="F72" s="315">
        <v>0.008</v>
      </c>
      <c r="G72" s="315">
        <v>0.018</v>
      </c>
      <c r="H72" s="315">
        <v>0.003</v>
      </c>
      <c r="I72" s="315">
        <v>0.052</v>
      </c>
      <c r="J72" s="315">
        <v>0.003</v>
      </c>
      <c r="K72" s="182">
        <v>0.01</v>
      </c>
      <c r="L72" s="182">
        <v>0.005</v>
      </c>
      <c r="M72" s="182">
        <v>0.02</v>
      </c>
      <c r="N72" s="182">
        <v>0.005</v>
      </c>
      <c r="O72" s="182">
        <v>0.008</v>
      </c>
      <c r="P72" s="182">
        <v>0.004</v>
      </c>
      <c r="Q72" s="182">
        <v>0.015</v>
      </c>
      <c r="R72" s="182">
        <v>0.004</v>
      </c>
      <c r="S72" s="182">
        <v>0.007</v>
      </c>
      <c r="T72" s="182">
        <v>0.004</v>
      </c>
      <c r="U72" s="182">
        <v>0.012</v>
      </c>
      <c r="X72" s="231">
        <f t="shared" ref="X72:Z72" si="55">+X31/W31-1</f>
        <v>0.0342643367669309</v>
      </c>
      <c r="Y72" s="231">
        <f t="shared" si="55"/>
        <v>0.00804548357902668</v>
      </c>
      <c r="Z72" s="231">
        <f t="shared" si="55"/>
        <v>0.00679185637389401</v>
      </c>
    </row>
    <row r="73" outlineLevel="1" spans="3:26">
      <c r="C73" s="11" t="s">
        <v>471</v>
      </c>
      <c r="D73" s="736" t="s">
        <v>56</v>
      </c>
      <c r="F73" s="231">
        <f t="shared" ref="F73:J73" si="56">-F39/F31</f>
        <v>0.500054523645087</v>
      </c>
      <c r="G73" s="231">
        <f t="shared" si="56"/>
        <v>0.525095367193685</v>
      </c>
      <c r="H73" s="231">
        <f t="shared" si="56"/>
        <v>0.498442684000271</v>
      </c>
      <c r="I73" s="231">
        <f t="shared" si="56"/>
        <v>0.497508645166993</v>
      </c>
      <c r="J73" s="231">
        <f t="shared" si="56"/>
        <v>0.495255730376474</v>
      </c>
      <c r="K73" s="182">
        <v>0.52</v>
      </c>
      <c r="L73" s="182">
        <v>0.5</v>
      </c>
      <c r="M73" s="182">
        <v>0.5</v>
      </c>
      <c r="N73" s="182">
        <v>0.5</v>
      </c>
      <c r="O73" s="320">
        <f t="shared" ref="O73:U73" si="57">+K73</f>
        <v>0.52</v>
      </c>
      <c r="P73" s="320">
        <f t="shared" si="57"/>
        <v>0.5</v>
      </c>
      <c r="Q73" s="320">
        <f t="shared" si="57"/>
        <v>0.5</v>
      </c>
      <c r="R73" s="320">
        <f t="shared" si="57"/>
        <v>0.5</v>
      </c>
      <c r="S73" s="320">
        <f t="shared" si="57"/>
        <v>0.52</v>
      </c>
      <c r="T73" s="320">
        <f t="shared" si="57"/>
        <v>0.5</v>
      </c>
      <c r="U73" s="320">
        <f t="shared" si="57"/>
        <v>0.5</v>
      </c>
      <c r="W73" s="231">
        <f t="shared" ref="W73:Z73" si="58">-W39/W31</f>
        <v>0.505022868106961</v>
      </c>
      <c r="X73" s="231">
        <f t="shared" si="58"/>
        <v>0.503505488603632</v>
      </c>
      <c r="Y73" s="231">
        <f t="shared" si="58"/>
        <v>0.504718691240038</v>
      </c>
      <c r="Z73" s="231">
        <f t="shared" si="58"/>
        <v>0.504719666779817</v>
      </c>
    </row>
    <row r="74" outlineLevel="1" spans="3:26">
      <c r="C74" s="11" t="s">
        <v>472</v>
      </c>
      <c r="D74" s="736" t="s">
        <v>56</v>
      </c>
      <c r="F74" s="231">
        <f t="shared" ref="F74:J74" si="59">-F33/F39</f>
        <v>0.937559060841753</v>
      </c>
      <c r="G74" s="231">
        <f t="shared" si="59"/>
        <v>0.952527813949238</v>
      </c>
      <c r="H74" s="231">
        <f t="shared" si="59"/>
        <v>1.00466390454844</v>
      </c>
      <c r="I74" s="231">
        <f t="shared" si="59"/>
        <v>0.997179720636895</v>
      </c>
      <c r="J74" s="231">
        <f t="shared" si="59"/>
        <v>1.00207960000885</v>
      </c>
      <c r="K74" s="182">
        <v>1</v>
      </c>
      <c r="L74" s="320">
        <f t="shared" ref="L74:U74" si="60">+K74</f>
        <v>1</v>
      </c>
      <c r="M74" s="320">
        <f t="shared" si="60"/>
        <v>1</v>
      </c>
      <c r="N74" s="320">
        <f t="shared" si="60"/>
        <v>1</v>
      </c>
      <c r="O74" s="320">
        <f t="shared" si="60"/>
        <v>1</v>
      </c>
      <c r="P74" s="320">
        <f t="shared" si="60"/>
        <v>1</v>
      </c>
      <c r="Q74" s="320">
        <f t="shared" si="60"/>
        <v>1</v>
      </c>
      <c r="R74" s="320">
        <f t="shared" si="60"/>
        <v>1</v>
      </c>
      <c r="S74" s="320">
        <f t="shared" si="60"/>
        <v>1</v>
      </c>
      <c r="T74" s="320">
        <f t="shared" si="60"/>
        <v>1</v>
      </c>
      <c r="U74" s="320">
        <f t="shared" si="60"/>
        <v>1</v>
      </c>
      <c r="W74" s="231">
        <f t="shared" ref="W74:Z74" si="61">-W33/W39</f>
        <v>0.973737976630472</v>
      </c>
      <c r="X74" s="231">
        <f t="shared" si="61"/>
        <v>1.00052317298041</v>
      </c>
      <c r="Y74" s="231">
        <f t="shared" si="61"/>
        <v>1</v>
      </c>
      <c r="Z74" s="231">
        <f t="shared" si="61"/>
        <v>1</v>
      </c>
    </row>
    <row r="75" outlineLevel="1" spans="6:26">
      <c r="F75" s="231"/>
      <c r="G75" s="231"/>
      <c r="H75" s="231"/>
      <c r="I75" s="231"/>
      <c r="J75" s="231"/>
      <c r="W75" s="231"/>
      <c r="X75" s="231"/>
      <c r="Y75" s="231"/>
      <c r="Z75" s="231"/>
    </row>
    <row r="76" outlineLevel="1" spans="3:26">
      <c r="C76" s="11" t="s">
        <v>550</v>
      </c>
      <c r="D76" s="736" t="s">
        <v>56</v>
      </c>
      <c r="F76" s="231">
        <f>+F35/2.436-1</f>
        <v>0.199507389162562</v>
      </c>
      <c r="G76" s="231">
        <f>+G35/6.642-1</f>
        <v>-0.475910870219813</v>
      </c>
      <c r="H76" s="231">
        <f>+H35/3.343-1</f>
        <v>-0.600059826503141</v>
      </c>
      <c r="I76" s="231">
        <f>+I35/1.857-1</f>
        <v>2.3769520732364</v>
      </c>
      <c r="J76" s="231">
        <f>+J35/F35-1</f>
        <v>-0.00034223134839162</v>
      </c>
      <c r="K76" s="182">
        <v>0.05</v>
      </c>
      <c r="L76" s="182">
        <v>0.045</v>
      </c>
      <c r="M76" s="182">
        <v>0.045</v>
      </c>
      <c r="N76" s="182">
        <v>0.04</v>
      </c>
      <c r="O76" s="182">
        <v>0.04</v>
      </c>
      <c r="P76" s="182">
        <v>0.035</v>
      </c>
      <c r="Q76" s="182">
        <v>0.035</v>
      </c>
      <c r="R76" s="182">
        <v>0.03</v>
      </c>
      <c r="S76" s="182">
        <v>0.03</v>
      </c>
      <c r="T76" s="182">
        <v>0.025</v>
      </c>
      <c r="U76" s="182">
        <v>0.025</v>
      </c>
      <c r="W76" s="231"/>
      <c r="X76" s="231"/>
      <c r="Y76" s="231"/>
      <c r="Z76" s="231"/>
    </row>
    <row r="77" outlineLevel="1" spans="3:26">
      <c r="C77" s="11" t="s">
        <v>551</v>
      </c>
      <c r="D77" s="736" t="s">
        <v>56</v>
      </c>
      <c r="F77" s="231">
        <f t="shared" ref="F77:J77" si="62">-F43/F35</f>
        <v>0.803901437371663</v>
      </c>
      <c r="G77" s="231">
        <f t="shared" si="62"/>
        <v>0.917265153691468</v>
      </c>
      <c r="H77" s="231">
        <f t="shared" si="62"/>
        <v>0.598354525056096</v>
      </c>
      <c r="I77" s="231">
        <f t="shared" si="62"/>
        <v>0.867325785361186</v>
      </c>
      <c r="J77" s="231">
        <f t="shared" si="62"/>
        <v>0.926052721670661</v>
      </c>
      <c r="K77" s="320">
        <f>AVERAGE(F77:J77)</f>
        <v>0.822579924630215</v>
      </c>
      <c r="L77" s="320">
        <f t="shared" ref="L77:U77" si="63">+K77</f>
        <v>0.822579924630215</v>
      </c>
      <c r="M77" s="320">
        <f t="shared" si="63"/>
        <v>0.822579924630215</v>
      </c>
      <c r="N77" s="320">
        <f t="shared" si="63"/>
        <v>0.822579924630215</v>
      </c>
      <c r="O77" s="320">
        <f t="shared" si="63"/>
        <v>0.822579924630215</v>
      </c>
      <c r="P77" s="320">
        <f t="shared" si="63"/>
        <v>0.822579924630215</v>
      </c>
      <c r="Q77" s="320">
        <f t="shared" si="63"/>
        <v>0.822579924630215</v>
      </c>
      <c r="R77" s="320">
        <f t="shared" si="63"/>
        <v>0.822579924630215</v>
      </c>
      <c r="S77" s="320">
        <f t="shared" si="63"/>
        <v>0.822579924630215</v>
      </c>
      <c r="T77" s="320">
        <f t="shared" si="63"/>
        <v>0.822579924630215</v>
      </c>
      <c r="U77" s="320">
        <f t="shared" si="63"/>
        <v>0.822579924630215</v>
      </c>
      <c r="W77" s="231"/>
      <c r="X77" s="231"/>
      <c r="Y77" s="231"/>
      <c r="Z77" s="231"/>
    </row>
    <row r="78" outlineLevel="1" spans="6:26">
      <c r="F78" s="231"/>
      <c r="G78" s="231"/>
      <c r="H78" s="231"/>
      <c r="I78" s="231"/>
      <c r="J78" s="231"/>
      <c r="W78" s="231"/>
      <c r="X78" s="231"/>
      <c r="Y78" s="231"/>
      <c r="Z78" s="231"/>
    </row>
    <row r="79" outlineLevel="1" spans="3:26">
      <c r="C79" s="11" t="s">
        <v>473</v>
      </c>
      <c r="D79" s="736" t="s">
        <v>56</v>
      </c>
      <c r="F79" s="231">
        <f t="shared" ref="F79:U79" si="64">(+F31+F33+F39)/(F31+F33)</f>
        <v>0.659556039496152</v>
      </c>
      <c r="G79" s="231">
        <f t="shared" si="64"/>
        <v>0.649975611121329</v>
      </c>
      <c r="H79" s="231">
        <f t="shared" si="64"/>
        <v>0.667874786636489</v>
      </c>
      <c r="I79" s="231">
        <f t="shared" si="64"/>
        <v>0.667464203165038</v>
      </c>
      <c r="J79" s="231">
        <f t="shared" si="64"/>
        <v>0.669009907515213</v>
      </c>
      <c r="K79" s="231">
        <f t="shared" si="64"/>
        <v>0.657894736842105</v>
      </c>
      <c r="L79" s="231">
        <f t="shared" si="64"/>
        <v>0.666666666666667</v>
      </c>
      <c r="M79" s="231">
        <f t="shared" si="64"/>
        <v>0.666666666666667</v>
      </c>
      <c r="N79" s="231">
        <f t="shared" si="64"/>
        <v>0.666666666666667</v>
      </c>
      <c r="O79" s="231">
        <f t="shared" si="64"/>
        <v>0.657894736842105</v>
      </c>
      <c r="P79" s="231">
        <f t="shared" si="64"/>
        <v>0.666666666666667</v>
      </c>
      <c r="Q79" s="231">
        <f t="shared" si="64"/>
        <v>0.666666666666667</v>
      </c>
      <c r="R79" s="231">
        <f t="shared" si="64"/>
        <v>0.666666666666667</v>
      </c>
      <c r="S79" s="231">
        <f t="shared" si="64"/>
        <v>0.657894736842105</v>
      </c>
      <c r="T79" s="231">
        <f t="shared" si="64"/>
        <v>0.666666666666667</v>
      </c>
      <c r="U79" s="231">
        <f t="shared" si="64"/>
        <v>0.666666666666667</v>
      </c>
      <c r="W79" s="231">
        <f t="shared" ref="W79:Z79" si="65">(+W31+W33+W39)/(W31+W33)</f>
        <v>0.661458353572053</v>
      </c>
      <c r="X79" s="231">
        <f t="shared" si="65"/>
        <v>0.665170967715532</v>
      </c>
      <c r="Y79" s="231">
        <f t="shared" si="65"/>
        <v>0.664576047218434</v>
      </c>
      <c r="Z79" s="231">
        <f t="shared" si="65"/>
        <v>0.664575616360524</v>
      </c>
    </row>
    <row r="80" outlineLevel="1" spans="6:11">
      <c r="F80" s="231"/>
      <c r="G80" s="231"/>
      <c r="H80" s="231"/>
      <c r="I80" s="231"/>
      <c r="J80" s="231"/>
      <c r="K80" s="309"/>
    </row>
    <row r="81" outlineLevel="1" spans="3:26">
      <c r="C81" s="11" t="s">
        <v>474</v>
      </c>
      <c r="D81" s="181" t="s">
        <v>48</v>
      </c>
      <c r="K81" s="306">
        <v>85</v>
      </c>
      <c r="L81" s="306">
        <v>85</v>
      </c>
      <c r="M81" s="306">
        <v>90</v>
      </c>
      <c r="N81" s="306">
        <v>90</v>
      </c>
      <c r="O81" s="306">
        <v>90</v>
      </c>
      <c r="P81" s="306">
        <v>90</v>
      </c>
      <c r="Q81" s="306">
        <v>95</v>
      </c>
      <c r="R81" s="306">
        <v>95</v>
      </c>
      <c r="S81" s="306">
        <v>100</v>
      </c>
      <c r="T81" s="306">
        <v>100</v>
      </c>
      <c r="U81" s="204">
        <v>105</v>
      </c>
      <c r="Y81" s="309"/>
      <c r="Z81" s="309"/>
    </row>
    <row r="82" outlineLevel="1" spans="11:11">
      <c r="K82" s="309"/>
    </row>
    <row r="83" outlineLevel="1" spans="3:26">
      <c r="C83" s="11" t="s">
        <v>475</v>
      </c>
      <c r="D83" s="181" t="s">
        <v>48</v>
      </c>
      <c r="K83" s="306">
        <v>70</v>
      </c>
      <c r="L83" s="306">
        <v>75</v>
      </c>
      <c r="M83" s="306">
        <v>80</v>
      </c>
      <c r="N83" s="306">
        <v>80</v>
      </c>
      <c r="O83" s="307">
        <f t="shared" ref="O83:U83" si="66">+K81</f>
        <v>85</v>
      </c>
      <c r="P83" s="307">
        <f t="shared" si="66"/>
        <v>85</v>
      </c>
      <c r="Q83" s="307">
        <f t="shared" si="66"/>
        <v>90</v>
      </c>
      <c r="R83" s="307">
        <f t="shared" si="66"/>
        <v>90</v>
      </c>
      <c r="S83" s="307">
        <f t="shared" si="66"/>
        <v>90</v>
      </c>
      <c r="T83" s="307">
        <f t="shared" si="66"/>
        <v>90</v>
      </c>
      <c r="U83" s="308">
        <f t="shared" si="66"/>
        <v>95</v>
      </c>
      <c r="X83" s="324"/>
      <c r="Y83" s="324"/>
      <c r="Z83" s="324"/>
    </row>
    <row r="84" outlineLevel="1" spans="3:26">
      <c r="C84" s="11" t="s">
        <v>476</v>
      </c>
      <c r="D84" s="736" t="s">
        <v>56</v>
      </c>
      <c r="K84" s="182">
        <v>0.055</v>
      </c>
      <c r="L84" s="182">
        <v>0.055</v>
      </c>
      <c r="M84" s="182">
        <v>0.055</v>
      </c>
      <c r="N84" s="182">
        <v>0.055</v>
      </c>
      <c r="O84" s="182">
        <v>0.055</v>
      </c>
      <c r="P84" s="182">
        <v>0.055</v>
      </c>
      <c r="Q84" s="182">
        <v>0.055</v>
      </c>
      <c r="R84" s="182">
        <v>0.06</v>
      </c>
      <c r="S84" s="182">
        <v>0.06</v>
      </c>
      <c r="T84" s="182">
        <v>0.06</v>
      </c>
      <c r="U84" s="182">
        <v>0.06</v>
      </c>
      <c r="X84" s="324"/>
      <c r="Y84" s="324"/>
      <c r="Z84" s="324"/>
    </row>
    <row r="85" outlineLevel="1" spans="3:26">
      <c r="C85" s="11" t="s">
        <v>477</v>
      </c>
      <c r="D85" s="181" t="s">
        <v>48</v>
      </c>
      <c r="K85" s="309">
        <f t="shared" ref="K85:U85" si="67">+K83*K84</f>
        <v>3.85</v>
      </c>
      <c r="L85" s="309">
        <f t="shared" si="67"/>
        <v>4.125</v>
      </c>
      <c r="M85" s="309">
        <f t="shared" si="67"/>
        <v>4.4</v>
      </c>
      <c r="N85" s="309">
        <f t="shared" si="67"/>
        <v>4.4</v>
      </c>
      <c r="O85" s="309">
        <f t="shared" si="67"/>
        <v>4.675</v>
      </c>
      <c r="P85" s="309">
        <f t="shared" si="67"/>
        <v>4.675</v>
      </c>
      <c r="Q85" s="309">
        <f t="shared" si="67"/>
        <v>4.95</v>
      </c>
      <c r="R85" s="309">
        <f t="shared" si="67"/>
        <v>5.4</v>
      </c>
      <c r="S85" s="309">
        <f t="shared" si="67"/>
        <v>5.4</v>
      </c>
      <c r="T85" s="309">
        <f t="shared" si="67"/>
        <v>5.4</v>
      </c>
      <c r="U85" s="309">
        <f t="shared" si="67"/>
        <v>5.7</v>
      </c>
      <c r="W85" s="309"/>
      <c r="X85" s="309"/>
      <c r="Y85" s="309"/>
      <c r="Z85" s="309"/>
    </row>
    <row r="86" outlineLevel="1"/>
    <row r="87" outlineLevel="1" spans="3:26">
      <c r="C87" s="11" t="s">
        <v>478</v>
      </c>
      <c r="D87" s="181" t="s">
        <v>48</v>
      </c>
      <c r="K87" s="309">
        <f t="shared" ref="K87:U87" si="68">+K85/K79</f>
        <v>5.852</v>
      </c>
      <c r="L87" s="309">
        <f t="shared" si="68"/>
        <v>6.1875</v>
      </c>
      <c r="M87" s="309">
        <f t="shared" si="68"/>
        <v>6.6</v>
      </c>
      <c r="N87" s="309">
        <f t="shared" si="68"/>
        <v>6.6</v>
      </c>
      <c r="O87" s="309">
        <f t="shared" si="68"/>
        <v>7.106</v>
      </c>
      <c r="P87" s="309">
        <f t="shared" si="68"/>
        <v>7.0125</v>
      </c>
      <c r="Q87" s="309">
        <f t="shared" si="68"/>
        <v>7.425</v>
      </c>
      <c r="R87" s="309">
        <f t="shared" si="68"/>
        <v>8.1</v>
      </c>
      <c r="S87" s="309">
        <f t="shared" si="68"/>
        <v>8.208</v>
      </c>
      <c r="T87" s="309">
        <f t="shared" si="68"/>
        <v>8.1</v>
      </c>
      <c r="U87" s="309">
        <f t="shared" si="68"/>
        <v>8.55</v>
      </c>
      <c r="W87" s="309"/>
      <c r="X87" s="309"/>
      <c r="Y87" s="309"/>
      <c r="Z87" s="309"/>
    </row>
    <row r="88" outlineLevel="1" spans="3:26">
      <c r="C88" s="11" t="s">
        <v>479</v>
      </c>
      <c r="D88" s="181" t="s">
        <v>48</v>
      </c>
      <c r="K88" s="309">
        <f t="shared" ref="K88:U88" si="69">+K87-K85</f>
        <v>2.002</v>
      </c>
      <c r="L88" s="309">
        <f t="shared" si="69"/>
        <v>2.0625</v>
      </c>
      <c r="M88" s="309">
        <f t="shared" si="69"/>
        <v>2.2</v>
      </c>
      <c r="N88" s="309">
        <f t="shared" si="69"/>
        <v>2.2</v>
      </c>
      <c r="O88" s="309">
        <f t="shared" si="69"/>
        <v>2.431</v>
      </c>
      <c r="P88" s="309">
        <f t="shared" si="69"/>
        <v>2.3375</v>
      </c>
      <c r="Q88" s="309">
        <f t="shared" si="69"/>
        <v>2.475</v>
      </c>
      <c r="R88" s="309">
        <f t="shared" si="69"/>
        <v>2.7</v>
      </c>
      <c r="S88" s="309">
        <f t="shared" si="69"/>
        <v>2.808</v>
      </c>
      <c r="T88" s="309">
        <f t="shared" si="69"/>
        <v>2.7</v>
      </c>
      <c r="U88" s="309">
        <f t="shared" si="69"/>
        <v>2.85</v>
      </c>
      <c r="W88" s="309"/>
      <c r="X88" s="309"/>
      <c r="Y88" s="309"/>
      <c r="Z88" s="309"/>
    </row>
    <row r="89" outlineLevel="1" spans="3:26">
      <c r="C89" s="11" t="s">
        <v>480</v>
      </c>
      <c r="D89" s="181" t="s">
        <v>48</v>
      </c>
      <c r="K89" s="309">
        <f t="shared" ref="K89:U89" si="70">+K88*K74</f>
        <v>2.002</v>
      </c>
      <c r="L89" s="309">
        <f t="shared" si="70"/>
        <v>2.0625</v>
      </c>
      <c r="M89" s="309">
        <f t="shared" si="70"/>
        <v>2.2</v>
      </c>
      <c r="N89" s="309">
        <f t="shared" si="70"/>
        <v>2.2</v>
      </c>
      <c r="O89" s="309">
        <f t="shared" si="70"/>
        <v>2.431</v>
      </c>
      <c r="P89" s="309">
        <f t="shared" si="70"/>
        <v>2.3375</v>
      </c>
      <c r="Q89" s="309">
        <f t="shared" si="70"/>
        <v>2.475</v>
      </c>
      <c r="R89" s="309">
        <f t="shared" si="70"/>
        <v>2.7</v>
      </c>
      <c r="S89" s="309">
        <f t="shared" si="70"/>
        <v>2.808</v>
      </c>
      <c r="T89" s="309">
        <f t="shared" si="70"/>
        <v>2.7</v>
      </c>
      <c r="U89" s="309">
        <f t="shared" si="70"/>
        <v>2.85</v>
      </c>
      <c r="W89" s="309"/>
      <c r="X89" s="309"/>
      <c r="Y89" s="309"/>
      <c r="Z89" s="309"/>
    </row>
    <row r="90" outlineLevel="1" spans="3:26">
      <c r="C90" s="11" t="s">
        <v>481</v>
      </c>
      <c r="D90" s="181" t="s">
        <v>48</v>
      </c>
      <c r="K90" s="309">
        <f t="shared" ref="K90:U90" si="71">+K87-K89</f>
        <v>3.85</v>
      </c>
      <c r="L90" s="309">
        <f t="shared" si="71"/>
        <v>4.125</v>
      </c>
      <c r="M90" s="309">
        <f t="shared" si="71"/>
        <v>4.4</v>
      </c>
      <c r="N90" s="309">
        <f t="shared" si="71"/>
        <v>4.4</v>
      </c>
      <c r="O90" s="309">
        <f t="shared" si="71"/>
        <v>4.675</v>
      </c>
      <c r="P90" s="309">
        <f t="shared" si="71"/>
        <v>4.675</v>
      </c>
      <c r="Q90" s="309">
        <f t="shared" si="71"/>
        <v>4.95</v>
      </c>
      <c r="R90" s="309">
        <f t="shared" si="71"/>
        <v>5.4</v>
      </c>
      <c r="S90" s="309">
        <f t="shared" si="71"/>
        <v>5.4</v>
      </c>
      <c r="T90" s="309">
        <f t="shared" si="71"/>
        <v>5.4</v>
      </c>
      <c r="U90" s="309">
        <f t="shared" si="71"/>
        <v>5.7</v>
      </c>
      <c r="W90" s="309"/>
      <c r="X90" s="309"/>
      <c r="Y90" s="309"/>
      <c r="Z90" s="309"/>
    </row>
    <row r="91" outlineLevel="1" spans="6:10">
      <c r="F91" s="231"/>
      <c r="G91" s="231"/>
      <c r="H91" s="231"/>
      <c r="I91" s="231"/>
      <c r="J91" s="231"/>
    </row>
    <row r="92" outlineLevel="1" spans="3:26">
      <c r="C92" s="316" t="s">
        <v>484</v>
      </c>
      <c r="D92" s="736" t="s">
        <v>56</v>
      </c>
      <c r="F92" s="231">
        <f t="shared" ref="F92:J92" si="72">-F41/F$36</f>
        <v>0.0449057181290224</v>
      </c>
      <c r="G92" s="231">
        <f t="shared" si="72"/>
        <v>0.0410306679736732</v>
      </c>
      <c r="H92" s="231">
        <f t="shared" si="72"/>
        <v>0.0408260500573232</v>
      </c>
      <c r="I92" s="231">
        <f t="shared" si="72"/>
        <v>0.0473575743887979</v>
      </c>
      <c r="J92" s="231">
        <f t="shared" si="72"/>
        <v>0.0488371426113389</v>
      </c>
      <c r="K92" s="320">
        <f t="shared" ref="K92:U92" si="73">+G92</f>
        <v>0.0410306679736732</v>
      </c>
      <c r="L92" s="320">
        <f t="shared" si="73"/>
        <v>0.0408260500573232</v>
      </c>
      <c r="M92" s="320">
        <f t="shared" si="73"/>
        <v>0.0473575743887979</v>
      </c>
      <c r="N92" s="320">
        <f t="shared" si="73"/>
        <v>0.0488371426113389</v>
      </c>
      <c r="O92" s="320">
        <f t="shared" si="73"/>
        <v>0.0410306679736732</v>
      </c>
      <c r="P92" s="320">
        <f t="shared" si="73"/>
        <v>0.0408260500573232</v>
      </c>
      <c r="Q92" s="320">
        <f t="shared" si="73"/>
        <v>0.0473575743887979</v>
      </c>
      <c r="R92" s="320">
        <f t="shared" si="73"/>
        <v>0.0488371426113389</v>
      </c>
      <c r="S92" s="320">
        <f t="shared" si="73"/>
        <v>0.0410306679736732</v>
      </c>
      <c r="T92" s="320">
        <f t="shared" si="73"/>
        <v>0.0408260500573232</v>
      </c>
      <c r="U92" s="320">
        <f t="shared" si="73"/>
        <v>0.0473575743887979</v>
      </c>
      <c r="W92" s="231">
        <f t="shared" ref="W92:Z92" si="74">-W41/W$36</f>
        <v>0.0435841808508022</v>
      </c>
      <c r="X92" s="231">
        <f t="shared" si="74"/>
        <v>0.0445945285185136</v>
      </c>
      <c r="Y92" s="231">
        <f t="shared" si="74"/>
        <v>0.044583556078484</v>
      </c>
      <c r="Z92" s="231">
        <f t="shared" si="74"/>
        <v>0.044572441330624</v>
      </c>
    </row>
    <row r="93" outlineLevel="1" spans="3:26">
      <c r="C93" s="316" t="s">
        <v>485</v>
      </c>
      <c r="D93" s="736" t="s">
        <v>56</v>
      </c>
      <c r="F93" s="231">
        <f t="shared" ref="F93:J93" si="75">-F42/F$36</f>
        <v>0.20816116118535</v>
      </c>
      <c r="G93" s="231">
        <f t="shared" si="75"/>
        <v>0.204787689243648</v>
      </c>
      <c r="H93" s="231">
        <f t="shared" si="75"/>
        <v>0.204673704271697</v>
      </c>
      <c r="I93" s="231">
        <f t="shared" si="75"/>
        <v>0.19847834679013</v>
      </c>
      <c r="J93" s="231">
        <f t="shared" si="75"/>
        <v>0.202223910986206</v>
      </c>
      <c r="K93" s="320">
        <f t="shared" ref="K93:U93" si="76">+G93</f>
        <v>0.204787689243648</v>
      </c>
      <c r="L93" s="320">
        <f t="shared" si="76"/>
        <v>0.204673704271697</v>
      </c>
      <c r="M93" s="320">
        <f t="shared" si="76"/>
        <v>0.19847834679013</v>
      </c>
      <c r="N93" s="320">
        <f t="shared" si="76"/>
        <v>0.202223910986206</v>
      </c>
      <c r="O93" s="320">
        <f t="shared" si="76"/>
        <v>0.204787689243648</v>
      </c>
      <c r="P93" s="320">
        <f t="shared" si="76"/>
        <v>0.204673704271697</v>
      </c>
      <c r="Q93" s="320">
        <f t="shared" si="76"/>
        <v>0.19847834679013</v>
      </c>
      <c r="R93" s="320">
        <f t="shared" si="76"/>
        <v>0.202223910986206</v>
      </c>
      <c r="S93" s="320">
        <f t="shared" si="76"/>
        <v>0.204787689243648</v>
      </c>
      <c r="T93" s="320">
        <f t="shared" si="76"/>
        <v>0.204673704271697</v>
      </c>
      <c r="U93" s="320">
        <f t="shared" si="76"/>
        <v>0.19847834679013</v>
      </c>
      <c r="W93" s="231">
        <f t="shared" ref="W93:Z93" si="77">-W42/W$36</f>
        <v>0.203860026744795</v>
      </c>
      <c r="X93" s="231">
        <f t="shared" si="77"/>
        <v>0.202393375244656</v>
      </c>
      <c r="Y93" s="231">
        <f t="shared" si="77"/>
        <v>0.202402198333616</v>
      </c>
      <c r="Z93" s="231">
        <f t="shared" si="77"/>
        <v>0.202411088916542</v>
      </c>
    </row>
    <row r="94" outlineLevel="1"/>
    <row r="95" outlineLevel="1" spans="3:26">
      <c r="C95" s="210" t="s">
        <v>486</v>
      </c>
      <c r="D95" s="736" t="s">
        <v>56</v>
      </c>
      <c r="F95" s="231"/>
      <c r="G95" s="231">
        <f>-G49/F122*Num_Periods</f>
        <v>0.0410930041152263</v>
      </c>
      <c r="H95" s="231">
        <f>-H49/G122*Num_Periods</f>
        <v>0.0459765190525232</v>
      </c>
      <c r="I95" s="231">
        <f>-I49/H122*Num_Periods</f>
        <v>0.0434111340206186</v>
      </c>
      <c r="J95" s="231">
        <f>-J49/I122*Num_Periods</f>
        <v>0.0389295946048729</v>
      </c>
      <c r="K95" s="182">
        <v>0.038</v>
      </c>
      <c r="L95" s="182">
        <v>0.039</v>
      </c>
      <c r="M95" s="182">
        <v>0.04</v>
      </c>
      <c r="N95" s="182">
        <v>0.04</v>
      </c>
      <c r="O95" s="182">
        <v>0.041</v>
      </c>
      <c r="P95" s="182">
        <v>0.041</v>
      </c>
      <c r="Q95" s="182">
        <v>0.042</v>
      </c>
      <c r="R95" s="182">
        <v>0.043</v>
      </c>
      <c r="S95" s="182">
        <v>0.043</v>
      </c>
      <c r="T95" s="182">
        <v>0.044</v>
      </c>
      <c r="U95" s="182">
        <v>0.044</v>
      </c>
      <c r="X95" s="231">
        <f t="shared" ref="X95:Z95" si="78">-X49/W122</f>
        <v>0.0436855733261748</v>
      </c>
      <c r="Y95" s="231">
        <f t="shared" si="78"/>
        <v>0.0432230295267082</v>
      </c>
      <c r="Z95" s="231">
        <f t="shared" si="78"/>
        <v>0.0456240835166841</v>
      </c>
    </row>
    <row r="96" outlineLevel="1" spans="3:26">
      <c r="C96" s="11" t="s">
        <v>487</v>
      </c>
      <c r="D96" s="736" t="s">
        <v>56</v>
      </c>
      <c r="F96" s="231"/>
      <c r="G96" s="231">
        <f>-G57/F128*Num_Periods</f>
        <v>0.0793053380782918</v>
      </c>
      <c r="H96" s="231">
        <f>-H57/G128*Num_Periods</f>
        <v>0.0481991701244813</v>
      </c>
      <c r="I96" s="231">
        <f>-I57/H128*Num_Periods</f>
        <v>0.0662658385093168</v>
      </c>
      <c r="J96" s="231">
        <f>-J57/I128*Num_Periods</f>
        <v>0.0662459627329193</v>
      </c>
      <c r="K96" s="320">
        <f t="shared" ref="K96:U96" si="79">+J96</f>
        <v>0.0662459627329193</v>
      </c>
      <c r="L96" s="320">
        <f t="shared" si="79"/>
        <v>0.0662459627329193</v>
      </c>
      <c r="M96" s="320">
        <f t="shared" si="79"/>
        <v>0.0662459627329193</v>
      </c>
      <c r="N96" s="320">
        <f t="shared" si="79"/>
        <v>0.0662459627329193</v>
      </c>
      <c r="O96" s="320">
        <f t="shared" si="79"/>
        <v>0.0662459627329193</v>
      </c>
      <c r="P96" s="320">
        <f t="shared" si="79"/>
        <v>0.0662459627329193</v>
      </c>
      <c r="Q96" s="320">
        <f t="shared" si="79"/>
        <v>0.0662459627329193</v>
      </c>
      <c r="R96" s="320">
        <f t="shared" si="79"/>
        <v>0.0662459627329193</v>
      </c>
      <c r="S96" s="320">
        <f t="shared" si="79"/>
        <v>0.0662459627329193</v>
      </c>
      <c r="T96" s="320">
        <f t="shared" si="79"/>
        <v>0.0662459627329193</v>
      </c>
      <c r="U96" s="320">
        <f t="shared" si="79"/>
        <v>0.0662459627329193</v>
      </c>
      <c r="X96" s="231">
        <f t="shared" ref="X96:Z96" si="80">-X57/W128</f>
        <v>0.0662459627329193</v>
      </c>
      <c r="Y96" s="231">
        <f t="shared" si="80"/>
        <v>0.0662459627329193</v>
      </c>
      <c r="Z96" s="231">
        <f t="shared" si="80"/>
        <v>0.0662459627329193</v>
      </c>
    </row>
    <row r="97" outlineLevel="1"/>
    <row r="98" outlineLevel="1" spans="3:26">
      <c r="C98" s="210" t="s">
        <v>488</v>
      </c>
      <c r="D98" s="736" t="s">
        <v>56</v>
      </c>
      <c r="F98" s="231">
        <f t="shared" ref="F98:J98" si="81">-F53/F52</f>
        <v>0</v>
      </c>
      <c r="G98" s="231">
        <f t="shared" si="81"/>
        <v>0</v>
      </c>
      <c r="H98" s="231">
        <f t="shared" si="81"/>
        <v>0</v>
      </c>
      <c r="I98" s="231">
        <f t="shared" si="81"/>
        <v>0</v>
      </c>
      <c r="J98" s="231">
        <f t="shared" si="81"/>
        <v>0</v>
      </c>
      <c r="K98" s="320">
        <f t="shared" ref="K98:M98" si="82">+G98</f>
        <v>0</v>
      </c>
      <c r="L98" s="320">
        <f t="shared" si="82"/>
        <v>0</v>
      </c>
      <c r="M98" s="320">
        <f t="shared" si="82"/>
        <v>0</v>
      </c>
      <c r="N98" s="320">
        <f>AVERAGE(F98,J98)</f>
        <v>0</v>
      </c>
      <c r="O98" s="320">
        <f t="shared" ref="O98:U98" si="83">+K98</f>
        <v>0</v>
      </c>
      <c r="P98" s="320">
        <f t="shared" si="83"/>
        <v>0</v>
      </c>
      <c r="Q98" s="320">
        <f t="shared" si="83"/>
        <v>0</v>
      </c>
      <c r="R98" s="320">
        <f t="shared" si="83"/>
        <v>0</v>
      </c>
      <c r="S98" s="320">
        <f t="shared" si="83"/>
        <v>0</v>
      </c>
      <c r="T98" s="320">
        <f t="shared" si="83"/>
        <v>0</v>
      </c>
      <c r="U98" s="320">
        <f t="shared" si="83"/>
        <v>0</v>
      </c>
      <c r="W98" s="231">
        <f t="shared" ref="W98:Z98" si="84">-W53/W52</f>
        <v>0</v>
      </c>
      <c r="X98" s="231">
        <f t="shared" si="84"/>
        <v>0</v>
      </c>
      <c r="Y98" s="231">
        <f t="shared" si="84"/>
        <v>0</v>
      </c>
      <c r="Z98" s="231">
        <f t="shared" si="84"/>
        <v>0</v>
      </c>
    </row>
    <row r="99" outlineLevel="1"/>
    <row r="100" outlineLevel="1" spans="3:26">
      <c r="C100" s="11" t="s">
        <v>490</v>
      </c>
      <c r="D100" s="736" t="s">
        <v>56</v>
      </c>
      <c r="F100" s="231">
        <f>+F55/-3.7-1</f>
        <v>0.48054054054054</v>
      </c>
      <c r="G100" s="231">
        <f>+G55/-4.7-1</f>
        <v>0.588723404255319</v>
      </c>
      <c r="H100" s="231">
        <f>+H55/-4.5-1</f>
        <v>0.143111111111111</v>
      </c>
      <c r="I100" s="231">
        <f>+I55/18.9-1</f>
        <v>-1.32587301587302</v>
      </c>
      <c r="J100" s="231">
        <f>+J55/F55-1</f>
        <v>0.0427163198247535</v>
      </c>
      <c r="K100" s="182">
        <v>0.2</v>
      </c>
      <c r="L100" s="182">
        <v>0.15</v>
      </c>
      <c r="M100" s="182">
        <v>0.1</v>
      </c>
      <c r="N100" s="182">
        <v>0.05</v>
      </c>
      <c r="O100" s="182">
        <v>0.05</v>
      </c>
      <c r="P100" s="182">
        <v>0.05</v>
      </c>
      <c r="Q100" s="182">
        <v>0.05</v>
      </c>
      <c r="R100" s="182">
        <v>0.05</v>
      </c>
      <c r="S100" s="182">
        <v>0.05</v>
      </c>
      <c r="T100" s="182">
        <v>0.05</v>
      </c>
      <c r="U100" s="182">
        <v>0.05</v>
      </c>
      <c r="X100" s="231">
        <f t="shared" ref="X100:Z100" si="85">+X55/W55-1</f>
        <v>0.09415415704388</v>
      </c>
      <c r="Y100" s="231">
        <f t="shared" si="85"/>
        <v>0.0698118807962744</v>
      </c>
      <c r="Z100" s="231">
        <f t="shared" si="85"/>
        <v>-0.0742248438404611</v>
      </c>
    </row>
    <row r="102" spans="2:26">
      <c r="B102" s="254"/>
      <c r="C102" s="254"/>
      <c r="D102" s="255"/>
      <c r="E102" s="256"/>
      <c r="F102" s="257" t="str">
        <f>$F$27</f>
        <v>Historical:</v>
      </c>
      <c r="G102" s="257"/>
      <c r="H102" s="257"/>
      <c r="I102" s="257"/>
      <c r="J102" s="296"/>
      <c r="K102" s="297" t="str">
        <f>$K$27</f>
        <v>Projected:</v>
      </c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W102" s="257" t="str">
        <f>$W$27</f>
        <v>Historical:</v>
      </c>
      <c r="X102" s="297" t="str">
        <f>$X$27</f>
        <v>Projected:</v>
      </c>
      <c r="Y102" s="257"/>
      <c r="Z102" s="257"/>
    </row>
    <row r="103" spans="2:26">
      <c r="B103" s="173" t="s">
        <v>246</v>
      </c>
      <c r="C103" s="173"/>
      <c r="D103" s="174" t="str">
        <f>+$D$5</f>
        <v>Units:</v>
      </c>
      <c r="E103" s="175"/>
      <c r="F103" s="258">
        <f>$F$28</f>
        <v>42460</v>
      </c>
      <c r="G103" s="259">
        <f>$G$28</f>
        <v>42551</v>
      </c>
      <c r="H103" s="260">
        <f>$H$28</f>
        <v>42643</v>
      </c>
      <c r="I103" s="298">
        <f>$I$28</f>
        <v>42735</v>
      </c>
      <c r="J103" s="258">
        <f>$J$28</f>
        <v>42825</v>
      </c>
      <c r="K103" s="299">
        <f>$K$28</f>
        <v>42916</v>
      </c>
      <c r="L103" s="260">
        <f>$L$28</f>
        <v>43008</v>
      </c>
      <c r="M103" s="298">
        <f>$M$28</f>
        <v>43100</v>
      </c>
      <c r="N103" s="258">
        <f>$N$28</f>
        <v>43190</v>
      </c>
      <c r="O103" s="259">
        <f>$O$28</f>
        <v>43281</v>
      </c>
      <c r="P103" s="260">
        <f>$P$28</f>
        <v>43373</v>
      </c>
      <c r="Q103" s="298">
        <f>$Q$28</f>
        <v>43465</v>
      </c>
      <c r="R103" s="258">
        <f>$R$28</f>
        <v>43555</v>
      </c>
      <c r="S103" s="259">
        <f>$S$28</f>
        <v>43646</v>
      </c>
      <c r="T103" s="260">
        <f>$T$28</f>
        <v>43738</v>
      </c>
      <c r="U103" s="298">
        <f>$U$28</f>
        <v>43830</v>
      </c>
      <c r="W103" s="313">
        <f>$W$28</f>
        <v>42735</v>
      </c>
      <c r="X103" s="314">
        <f>$X$28</f>
        <v>43100</v>
      </c>
      <c r="Y103" s="176">
        <f>$Y$28</f>
        <v>43465</v>
      </c>
      <c r="Z103" s="176">
        <f>$Z$28</f>
        <v>43830</v>
      </c>
    </row>
    <row r="104" outlineLevel="1" spans="2:26">
      <c r="B104" s="177" t="s">
        <v>247</v>
      </c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W104" s="178"/>
      <c r="X104" s="178"/>
      <c r="Y104" s="178"/>
      <c r="Z104" s="178"/>
    </row>
    <row r="105" outlineLevel="1" spans="2:21">
      <c r="B105" s="179"/>
      <c r="C105" s="193" t="s">
        <v>248</v>
      </c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</row>
    <row r="106" outlineLevel="1" spans="3:26">
      <c r="C106" s="51" t="s">
        <v>249</v>
      </c>
      <c r="D106" s="181" t="s">
        <v>48</v>
      </c>
      <c r="F106" s="263">
        <v>2771.662</v>
      </c>
      <c r="G106" s="263">
        <v>2818.267</v>
      </c>
      <c r="H106" s="263">
        <v>2942.41</v>
      </c>
      <c r="I106" s="263">
        <v>3018.361</v>
      </c>
      <c r="J106" s="263">
        <v>3019.725</v>
      </c>
      <c r="K106" s="301">
        <f t="shared" ref="K106:U106" si="86">+J106-K161-K162-K164-K165+K83</f>
        <v>3094.6660971012</v>
      </c>
      <c r="L106" s="301">
        <f t="shared" si="86"/>
        <v>3174.4371420712</v>
      </c>
      <c r="M106" s="301">
        <f t="shared" si="86"/>
        <v>3259.2277179212</v>
      </c>
      <c r="N106" s="301">
        <f t="shared" si="86"/>
        <v>3347.0257057212</v>
      </c>
      <c r="O106" s="301">
        <f t="shared" si="86"/>
        <v>3437.32642859201</v>
      </c>
      <c r="P106" s="301">
        <f t="shared" si="86"/>
        <v>3527.40439273715</v>
      </c>
      <c r="Q106" s="301">
        <f t="shared" si="86"/>
        <v>3622.4994699389</v>
      </c>
      <c r="R106" s="301">
        <f t="shared" si="86"/>
        <v>3721.14543721362</v>
      </c>
      <c r="S106" s="301">
        <f t="shared" si="86"/>
        <v>3816.85907317838</v>
      </c>
      <c r="T106" s="301">
        <f t="shared" si="86"/>
        <v>3912.2934992693</v>
      </c>
      <c r="U106" s="301">
        <f t="shared" si="86"/>
        <v>4012.73671956986</v>
      </c>
      <c r="W106" s="301">
        <f t="shared" ref="W106:Z106" si="87">INDEX($F106:$U106,1,MATCH(W$103,$F$103:$U$103,0))</f>
        <v>3018.361</v>
      </c>
      <c r="X106" s="301">
        <f t="shared" si="87"/>
        <v>3259.2277179212</v>
      </c>
      <c r="Y106" s="301">
        <f t="shared" si="87"/>
        <v>3622.4994699389</v>
      </c>
      <c r="Z106" s="301">
        <f t="shared" si="87"/>
        <v>4012.73671956986</v>
      </c>
    </row>
    <row r="107" outlineLevel="1" spans="3:26">
      <c r="C107" s="51" t="s">
        <v>250</v>
      </c>
      <c r="D107" s="200" t="s">
        <v>48</v>
      </c>
      <c r="F107" s="264">
        <v>436.873</v>
      </c>
      <c r="G107" s="264">
        <v>355.896</v>
      </c>
      <c r="H107" s="264">
        <v>385.367</v>
      </c>
      <c r="I107" s="264">
        <v>436.873</v>
      </c>
      <c r="J107" s="264">
        <v>596.746</v>
      </c>
      <c r="K107" s="302">
        <f t="shared" ref="K107:U107" si="88">+J107+K81-K83</f>
        <v>611.746</v>
      </c>
      <c r="L107" s="302">
        <f t="shared" si="88"/>
        <v>621.746</v>
      </c>
      <c r="M107" s="302">
        <f t="shared" si="88"/>
        <v>631.746</v>
      </c>
      <c r="N107" s="302">
        <f t="shared" si="88"/>
        <v>641.746</v>
      </c>
      <c r="O107" s="302">
        <f t="shared" si="88"/>
        <v>646.746</v>
      </c>
      <c r="P107" s="302">
        <f t="shared" si="88"/>
        <v>651.746</v>
      </c>
      <c r="Q107" s="302">
        <f t="shared" si="88"/>
        <v>656.746</v>
      </c>
      <c r="R107" s="302">
        <f t="shared" si="88"/>
        <v>661.746</v>
      </c>
      <c r="S107" s="302">
        <f t="shared" si="88"/>
        <v>671.746</v>
      </c>
      <c r="T107" s="302">
        <f t="shared" si="88"/>
        <v>681.746</v>
      </c>
      <c r="U107" s="302">
        <f t="shared" si="88"/>
        <v>691.746</v>
      </c>
      <c r="W107" s="302">
        <f t="shared" ref="W107:Z107" si="89">INDEX($F107:$U107,1,MATCH(W$103,$F$103:$U$103,0))</f>
        <v>436.873</v>
      </c>
      <c r="X107" s="302">
        <f t="shared" si="89"/>
        <v>631.746</v>
      </c>
      <c r="Y107" s="302">
        <f t="shared" si="89"/>
        <v>656.746</v>
      </c>
      <c r="Z107" s="302">
        <f t="shared" si="89"/>
        <v>691.746</v>
      </c>
    </row>
    <row r="108" outlineLevel="1" spans="3:26">
      <c r="C108" s="189" t="s">
        <v>52</v>
      </c>
      <c r="D108" s="181" t="s">
        <v>48</v>
      </c>
      <c r="E108" s="212"/>
      <c r="F108" s="317">
        <f t="shared" ref="F108:U108" si="90">SUM(F106:F107)</f>
        <v>3208.535</v>
      </c>
      <c r="G108" s="317">
        <f t="shared" si="90"/>
        <v>3174.163</v>
      </c>
      <c r="H108" s="317">
        <f t="shared" si="90"/>
        <v>3327.777</v>
      </c>
      <c r="I108" s="317">
        <f t="shared" si="90"/>
        <v>3455.234</v>
      </c>
      <c r="J108" s="317">
        <f t="shared" si="90"/>
        <v>3616.471</v>
      </c>
      <c r="K108" s="317">
        <f t="shared" si="90"/>
        <v>3706.4120971012</v>
      </c>
      <c r="L108" s="317">
        <f t="shared" si="90"/>
        <v>3796.1831420712</v>
      </c>
      <c r="M108" s="317">
        <f t="shared" si="90"/>
        <v>3890.9737179212</v>
      </c>
      <c r="N108" s="317">
        <f t="shared" si="90"/>
        <v>3988.7717057212</v>
      </c>
      <c r="O108" s="317">
        <f t="shared" si="90"/>
        <v>4084.07242859201</v>
      </c>
      <c r="P108" s="317">
        <f t="shared" si="90"/>
        <v>4179.15039273715</v>
      </c>
      <c r="Q108" s="317">
        <f t="shared" si="90"/>
        <v>4279.2454699389</v>
      </c>
      <c r="R108" s="317">
        <f t="shared" si="90"/>
        <v>4382.89143721362</v>
      </c>
      <c r="S108" s="317">
        <f t="shared" si="90"/>
        <v>4488.60507317838</v>
      </c>
      <c r="T108" s="317">
        <f t="shared" si="90"/>
        <v>4594.0394992693</v>
      </c>
      <c r="U108" s="317">
        <f t="shared" si="90"/>
        <v>4704.48271956986</v>
      </c>
      <c r="W108" s="317">
        <f t="shared" ref="W108:Z108" si="91">SUM(W106:W107)</f>
        <v>3455.234</v>
      </c>
      <c r="X108" s="317">
        <f t="shared" si="91"/>
        <v>3890.9737179212</v>
      </c>
      <c r="Y108" s="317">
        <f t="shared" si="91"/>
        <v>4279.2454699389</v>
      </c>
      <c r="Z108" s="317">
        <f t="shared" si="91"/>
        <v>4704.48271956986</v>
      </c>
    </row>
    <row r="109" outlineLevel="1" spans="3:26">
      <c r="C109" s="51" t="s">
        <v>251</v>
      </c>
      <c r="D109" s="200" t="s">
        <v>48</v>
      </c>
      <c r="F109" s="275">
        <v>-585.338</v>
      </c>
      <c r="G109" s="275">
        <v>-609.122</v>
      </c>
      <c r="H109" s="275">
        <v>-635.323999999999</v>
      </c>
      <c r="I109" s="275">
        <v>-662.183</v>
      </c>
      <c r="J109" s="275">
        <v>-689.042999999999</v>
      </c>
      <c r="K109" s="289">
        <f t="shared" ref="K109:U109" si="92">+J109-K150</f>
        <v>-717.198111026662</v>
      </c>
      <c r="L109" s="289">
        <f t="shared" si="92"/>
        <v>-747.289703637995</v>
      </c>
      <c r="M109" s="289">
        <f t="shared" si="92"/>
        <v>-779.776160115396</v>
      </c>
      <c r="N109" s="289">
        <f t="shared" si="92"/>
        <v>-813.317796553626</v>
      </c>
      <c r="O109" s="289">
        <f t="shared" si="92"/>
        <v>-847.138056068813</v>
      </c>
      <c r="P109" s="289">
        <f t="shared" si="92"/>
        <v>-882.940401815505</v>
      </c>
      <c r="Q109" s="289">
        <f t="shared" si="92"/>
        <v>-921.470550781976</v>
      </c>
      <c r="R109" s="289">
        <f t="shared" si="92"/>
        <v>-961.136534570703</v>
      </c>
      <c r="S109" s="289">
        <f t="shared" si="92"/>
        <v>-1001.46137242183</v>
      </c>
      <c r="T109" s="289">
        <f t="shared" si="92"/>
        <v>-1043.89629879339</v>
      </c>
      <c r="U109" s="289">
        <f t="shared" si="92"/>
        <v>-1089.33633442965</v>
      </c>
      <c r="W109" s="289">
        <f t="shared" ref="W109:Z109" si="93">INDEX($F109:$U109,1,MATCH(W$103,$F$103:$U$103,0))</f>
        <v>-662.183</v>
      </c>
      <c r="X109" s="289">
        <f t="shared" si="93"/>
        <v>-779.776160115396</v>
      </c>
      <c r="Y109" s="289">
        <f t="shared" si="93"/>
        <v>-921.470550781976</v>
      </c>
      <c r="Z109" s="289">
        <f t="shared" si="93"/>
        <v>-1089.33633442965</v>
      </c>
    </row>
    <row r="110" outlineLevel="1" spans="3:26">
      <c r="C110" s="189" t="s">
        <v>252</v>
      </c>
      <c r="D110" s="181" t="s">
        <v>48</v>
      </c>
      <c r="E110" s="212"/>
      <c r="F110" s="318">
        <f t="shared" ref="F110:U110" si="94">SUM(F108:F109)</f>
        <v>2623.197</v>
      </c>
      <c r="G110" s="318">
        <f t="shared" si="94"/>
        <v>2565.041</v>
      </c>
      <c r="H110" s="318">
        <f t="shared" si="94"/>
        <v>2692.453</v>
      </c>
      <c r="I110" s="318">
        <f t="shared" si="94"/>
        <v>2793.051</v>
      </c>
      <c r="J110" s="318">
        <f t="shared" si="94"/>
        <v>2927.428</v>
      </c>
      <c r="K110" s="318">
        <f t="shared" si="94"/>
        <v>2989.21398607454</v>
      </c>
      <c r="L110" s="318">
        <f t="shared" si="94"/>
        <v>3048.8934384332</v>
      </c>
      <c r="M110" s="318">
        <f t="shared" si="94"/>
        <v>3111.1975578058</v>
      </c>
      <c r="N110" s="318">
        <f t="shared" si="94"/>
        <v>3175.45390916757</v>
      </c>
      <c r="O110" s="318">
        <f t="shared" si="94"/>
        <v>3236.9343725232</v>
      </c>
      <c r="P110" s="318">
        <f t="shared" si="94"/>
        <v>3296.20999092165</v>
      </c>
      <c r="Q110" s="318">
        <f t="shared" si="94"/>
        <v>3357.77491915693</v>
      </c>
      <c r="R110" s="318">
        <f t="shared" si="94"/>
        <v>3421.75490264292</v>
      </c>
      <c r="S110" s="318">
        <f t="shared" si="94"/>
        <v>3487.14370075655</v>
      </c>
      <c r="T110" s="318">
        <f t="shared" si="94"/>
        <v>3550.14320047591</v>
      </c>
      <c r="U110" s="318">
        <f t="shared" si="94"/>
        <v>3615.14638514021</v>
      </c>
      <c r="W110" s="318">
        <f t="shared" ref="W110:Z110" si="95">SUM(W108:W109)</f>
        <v>2793.051</v>
      </c>
      <c r="X110" s="318">
        <f t="shared" si="95"/>
        <v>3111.1975578058</v>
      </c>
      <c r="Y110" s="318">
        <f t="shared" si="95"/>
        <v>3357.77491915693</v>
      </c>
      <c r="Z110" s="318">
        <f t="shared" si="95"/>
        <v>3615.14638514021</v>
      </c>
    </row>
    <row r="111" outlineLevel="1" spans="6:26">
      <c r="F111" s="197"/>
      <c r="G111" s="197"/>
      <c r="H111" s="197"/>
      <c r="I111" s="197"/>
      <c r="J111" s="197"/>
      <c r="K111" s="197"/>
      <c r="L111" s="197"/>
      <c r="M111" s="197"/>
      <c r="N111" s="197"/>
      <c r="O111" s="197"/>
      <c r="P111" s="197"/>
      <c r="Q111" s="197"/>
      <c r="R111" s="197"/>
      <c r="S111" s="197"/>
      <c r="T111" s="197"/>
      <c r="U111" s="197"/>
      <c r="W111" s="197"/>
      <c r="X111" s="197"/>
      <c r="Y111" s="197"/>
      <c r="Z111" s="197"/>
    </row>
    <row r="112" outlineLevel="1" spans="3:26">
      <c r="C112" s="11" t="s">
        <v>253</v>
      </c>
      <c r="D112" s="181" t="s">
        <v>48</v>
      </c>
      <c r="F112" s="302">
        <f t="shared" ref="F112:U112" si="96">+F178</f>
        <v>242.533</v>
      </c>
      <c r="G112" s="302">
        <f t="shared" si="96"/>
        <v>277.036</v>
      </c>
      <c r="H112" s="302">
        <f t="shared" si="96"/>
        <v>61.8209999999999</v>
      </c>
      <c r="I112" s="302">
        <f t="shared" si="96"/>
        <v>38.6239999999999</v>
      </c>
      <c r="J112" s="302">
        <f t="shared" si="96"/>
        <v>44.9239999999999</v>
      </c>
      <c r="K112" s="302">
        <f t="shared" si="96"/>
        <v>21.7725478438585</v>
      </c>
      <c r="L112" s="302">
        <f t="shared" si="96"/>
        <v>22.2978613739829</v>
      </c>
      <c r="M112" s="302">
        <f t="shared" si="96"/>
        <v>26.2272120226414</v>
      </c>
      <c r="N112" s="302">
        <f t="shared" si="96"/>
        <v>25.9703410779018</v>
      </c>
      <c r="O112" s="302">
        <f t="shared" si="96"/>
        <v>25.972175581368</v>
      </c>
      <c r="P112" s="302">
        <f t="shared" si="96"/>
        <v>26.5082441340547</v>
      </c>
      <c r="Q112" s="302">
        <f t="shared" si="96"/>
        <v>30.9338669924096</v>
      </c>
      <c r="R112" s="302">
        <f t="shared" si="96"/>
        <v>30.6427197234005</v>
      </c>
      <c r="S112" s="302">
        <f t="shared" si="96"/>
        <v>30.7827625041224</v>
      </c>
      <c r="T112" s="302">
        <f t="shared" si="96"/>
        <v>31.3940673918672</v>
      </c>
      <c r="U112" s="302">
        <f t="shared" si="96"/>
        <v>36.297246912579</v>
      </c>
      <c r="W112" s="302">
        <f t="shared" ref="W112:Z112" si="97">INDEX($F112:$U112,1,MATCH(W$103,$F$103:$U$103,0))</f>
        <v>38.6239999999999</v>
      </c>
      <c r="X112" s="302">
        <f t="shared" si="97"/>
        <v>26.2272120226414</v>
      </c>
      <c r="Y112" s="302">
        <f t="shared" si="97"/>
        <v>30.9338669924096</v>
      </c>
      <c r="Z112" s="302">
        <f t="shared" si="97"/>
        <v>36.297246912579</v>
      </c>
    </row>
    <row r="113" outlineLevel="1" spans="3:26">
      <c r="C113" s="11" t="s">
        <v>254</v>
      </c>
      <c r="D113" s="181" t="s">
        <v>48</v>
      </c>
      <c r="F113" s="264">
        <v>9.685</v>
      </c>
      <c r="G113" s="264">
        <v>9.457</v>
      </c>
      <c r="H113" s="264">
        <v>12.852</v>
      </c>
      <c r="I113" s="264">
        <v>11.533</v>
      </c>
      <c r="J113" s="264">
        <v>9.504</v>
      </c>
      <c r="K113" s="321">
        <f>+K139*K36*Num_Periods</f>
        <v>10.1152180594595</v>
      </c>
      <c r="L113" s="321">
        <f>+L139*L36*Num_Periods</f>
        <v>14.066749654125</v>
      </c>
      <c r="M113" s="321">
        <f>+M139*M36*Num_Periods</f>
        <v>13.3228896434772</v>
      </c>
      <c r="N113" s="321">
        <f>+N139*N36*Num_Periods</f>
        <v>11.3014398095839</v>
      </c>
      <c r="O113" s="321">
        <f>+O139*O36*Num_Periods</f>
        <v>12.1505221378691</v>
      </c>
      <c r="P113" s="321">
        <f>+P139*P36*Num_Periods</f>
        <v>16.7363237019054</v>
      </c>
      <c r="Q113" s="321">
        <f>+Q139*Q36*Num_Periods</f>
        <v>15.8014439951039</v>
      </c>
      <c r="R113" s="321">
        <f>+R139*R36*Num_Periods</f>
        <v>13.3649629499079</v>
      </c>
      <c r="S113" s="321">
        <f>+S139*S36*Num_Periods</f>
        <v>14.4874061299272</v>
      </c>
      <c r="T113" s="321">
        <f>+T139*T36*Num_Periods</f>
        <v>19.8368193259132</v>
      </c>
      <c r="U113" s="321">
        <f>+U139*U36*Num_Periods</f>
        <v>18.6352297487002</v>
      </c>
      <c r="W113" s="321">
        <f t="shared" ref="W113:Z113" si="98">INDEX($F113:$U113,1,MATCH(W$103,$F$103:$U$103,0))</f>
        <v>11.533</v>
      </c>
      <c r="X113" s="321">
        <f t="shared" si="98"/>
        <v>13.3228896434772</v>
      </c>
      <c r="Y113" s="321">
        <f t="shared" si="98"/>
        <v>15.8014439951039</v>
      </c>
      <c r="Z113" s="321">
        <f t="shared" si="98"/>
        <v>18.6352297487002</v>
      </c>
    </row>
    <row r="114" outlineLevel="1" spans="3:26">
      <c r="C114" s="11" t="s">
        <v>255</v>
      </c>
      <c r="D114" s="181" t="s">
        <v>48</v>
      </c>
      <c r="F114" s="264">
        <v>130.678</v>
      </c>
      <c r="G114" s="264">
        <v>124.006</v>
      </c>
      <c r="H114" s="264">
        <v>124.139</v>
      </c>
      <c r="I114" s="264">
        <v>123.058</v>
      </c>
      <c r="J114" s="264">
        <v>121.34</v>
      </c>
      <c r="K114" s="321">
        <f t="shared" ref="K114:U114" si="99">+J114-K153</f>
        <v>123.263578841544</v>
      </c>
      <c r="L114" s="321">
        <f t="shared" si="99"/>
        <v>122.46749130385</v>
      </c>
      <c r="M114" s="321">
        <f t="shared" si="99"/>
        <v>122.629553144484</v>
      </c>
      <c r="N114" s="321">
        <f t="shared" si="99"/>
        <v>121.364104963622</v>
      </c>
      <c r="O114" s="321">
        <f t="shared" si="99"/>
        <v>119.330007040039</v>
      </c>
      <c r="P114" s="321">
        <f t="shared" si="99"/>
        <v>121.777413067632</v>
      </c>
      <c r="Q114" s="321">
        <f t="shared" si="99"/>
        <v>120.726261709732</v>
      </c>
      <c r="R114" s="321">
        <f t="shared" si="99"/>
        <v>120.920474256483</v>
      </c>
      <c r="S114" s="321">
        <f t="shared" si="99"/>
        <v>119.418157857126</v>
      </c>
      <c r="T114" s="321">
        <f t="shared" si="99"/>
        <v>116.864514934119</v>
      </c>
      <c r="U114" s="321">
        <f t="shared" si="99"/>
        <v>120.06770067228</v>
      </c>
      <c r="W114" s="321">
        <f t="shared" ref="W114:Z114" si="100">INDEX($F114:$U114,1,MATCH(W$103,$F$103:$U$103,0))</f>
        <v>123.058</v>
      </c>
      <c r="X114" s="321">
        <f t="shared" si="100"/>
        <v>122.629553144484</v>
      </c>
      <c r="Y114" s="321">
        <f t="shared" si="100"/>
        <v>120.726261709732</v>
      </c>
      <c r="Z114" s="321">
        <f t="shared" si="100"/>
        <v>120.06770067228</v>
      </c>
    </row>
    <row r="115" outlineLevel="1" spans="3:26">
      <c r="C115" s="11" t="s">
        <v>256</v>
      </c>
      <c r="D115" s="181" t="s">
        <v>48</v>
      </c>
      <c r="F115" s="264">
        <v>0</v>
      </c>
      <c r="G115" s="264">
        <v>0</v>
      </c>
      <c r="H115" s="264">
        <v>0</v>
      </c>
      <c r="I115" s="264">
        <v>0</v>
      </c>
      <c r="J115" s="264">
        <v>0</v>
      </c>
      <c r="K115" s="302">
        <f t="shared" ref="K115:U115" si="101">+J115-K155</f>
        <v>0</v>
      </c>
      <c r="L115" s="302">
        <f t="shared" si="101"/>
        <v>0</v>
      </c>
      <c r="M115" s="302">
        <f t="shared" si="101"/>
        <v>0</v>
      </c>
      <c r="N115" s="302">
        <f t="shared" si="101"/>
        <v>0</v>
      </c>
      <c r="O115" s="302">
        <f t="shared" si="101"/>
        <v>0</v>
      </c>
      <c r="P115" s="302">
        <f t="shared" si="101"/>
        <v>0</v>
      </c>
      <c r="Q115" s="302">
        <f t="shared" si="101"/>
        <v>0</v>
      </c>
      <c r="R115" s="302">
        <f t="shared" si="101"/>
        <v>0</v>
      </c>
      <c r="S115" s="302">
        <f t="shared" si="101"/>
        <v>0</v>
      </c>
      <c r="T115" s="302">
        <f t="shared" si="101"/>
        <v>0</v>
      </c>
      <c r="U115" s="302">
        <f t="shared" si="101"/>
        <v>0</v>
      </c>
      <c r="W115" s="302">
        <f t="shared" ref="W115:Z115" si="102">INDEX($F115:$U115,1,MATCH(W$103,$F$103:$U$103,0))</f>
        <v>0</v>
      </c>
      <c r="X115" s="302">
        <f t="shared" si="102"/>
        <v>0</v>
      </c>
      <c r="Y115" s="302">
        <f t="shared" si="102"/>
        <v>0</v>
      </c>
      <c r="Z115" s="302">
        <f t="shared" si="102"/>
        <v>0</v>
      </c>
    </row>
    <row r="116" outlineLevel="1" spans="3:26">
      <c r="C116" s="11" t="s">
        <v>258</v>
      </c>
      <c r="D116" s="181" t="s">
        <v>48</v>
      </c>
      <c r="F116" s="275">
        <v>5.806</v>
      </c>
      <c r="G116" s="275">
        <v>5.583</v>
      </c>
      <c r="H116" s="275">
        <v>5.361</v>
      </c>
      <c r="I116" s="275">
        <v>5.138</v>
      </c>
      <c r="J116" s="275">
        <v>4.793</v>
      </c>
      <c r="K116" s="289">
        <f t="shared" ref="K116:U116" si="103">+J116-K154</f>
        <v>4.899</v>
      </c>
      <c r="L116" s="289">
        <f t="shared" si="103"/>
        <v>4.997</v>
      </c>
      <c r="M116" s="289">
        <f t="shared" si="103"/>
        <v>5.088</v>
      </c>
      <c r="N116" s="289">
        <f t="shared" si="103"/>
        <v>5.359</v>
      </c>
      <c r="O116" s="289">
        <f t="shared" si="103"/>
        <v>5.465</v>
      </c>
      <c r="P116" s="289">
        <f t="shared" si="103"/>
        <v>5.563</v>
      </c>
      <c r="Q116" s="289">
        <f t="shared" si="103"/>
        <v>5.654</v>
      </c>
      <c r="R116" s="289">
        <f t="shared" si="103"/>
        <v>5.925</v>
      </c>
      <c r="S116" s="289">
        <f t="shared" si="103"/>
        <v>6.031</v>
      </c>
      <c r="T116" s="289">
        <f t="shared" si="103"/>
        <v>6.129</v>
      </c>
      <c r="U116" s="289">
        <f t="shared" si="103"/>
        <v>6.22</v>
      </c>
      <c r="W116" s="289">
        <f t="shared" ref="W116:Z116" si="104">INDEX($F116:$U116,1,MATCH(W$103,$F$103:$U$103,0))</f>
        <v>5.138</v>
      </c>
      <c r="X116" s="289">
        <f t="shared" si="104"/>
        <v>5.088</v>
      </c>
      <c r="Y116" s="289">
        <f t="shared" si="104"/>
        <v>5.654</v>
      </c>
      <c r="Z116" s="289">
        <f t="shared" si="104"/>
        <v>6.22</v>
      </c>
    </row>
    <row r="117" outlineLevel="1" spans="3:26">
      <c r="C117" s="11" t="s">
        <v>260</v>
      </c>
      <c r="D117" s="181" t="s">
        <v>48</v>
      </c>
      <c r="F117" s="275">
        <v>69.333</v>
      </c>
      <c r="G117" s="275">
        <v>61.86</v>
      </c>
      <c r="H117" s="275">
        <v>68.174</v>
      </c>
      <c r="I117" s="275">
        <v>67.06</v>
      </c>
      <c r="J117" s="275">
        <v>70.023</v>
      </c>
      <c r="K117" s="321">
        <f>+K140*K36*Num_Periods</f>
        <v>66.1655270337488</v>
      </c>
      <c r="L117" s="321">
        <f>+L140*L36*Num_Periods</f>
        <v>74.6176930376844</v>
      </c>
      <c r="M117" s="321">
        <f>+M140*M36*Num_Periods</f>
        <v>77.467526184998</v>
      </c>
      <c r="N117" s="321">
        <f>+N140*N36*Num_Periods</f>
        <v>83.2660690011041</v>
      </c>
      <c r="O117" s="321">
        <f>+O140*O36*Num_Periods</f>
        <v>79.4788304376209</v>
      </c>
      <c r="P117" s="321">
        <f>+P140*P36*Num_Periods</f>
        <v>88.7785661417442</v>
      </c>
      <c r="Q117" s="321">
        <f>+Q140*Q36*Num_Periods</f>
        <v>91.8793752112776</v>
      </c>
      <c r="R117" s="321">
        <f>+R140*R36*Num_Periods</f>
        <v>98.4695707745585</v>
      </c>
      <c r="S117" s="321">
        <f>+S140*S36*Num_Periods</f>
        <v>94.7648242780268</v>
      </c>
      <c r="T117" s="321">
        <f>+T140*T36*Num_Periods</f>
        <v>105.225281724619</v>
      </c>
      <c r="U117" s="321">
        <f>+U140*U36*Num_Periods</f>
        <v>108.356759468294</v>
      </c>
      <c r="W117" s="321">
        <f t="shared" ref="W117:Z117" si="105">INDEX($F117:$U117,1,MATCH(W$103,$F$103:$U$103,0))</f>
        <v>67.06</v>
      </c>
      <c r="X117" s="321">
        <f t="shared" si="105"/>
        <v>77.467526184998</v>
      </c>
      <c r="Y117" s="321">
        <f t="shared" si="105"/>
        <v>91.8793752112776</v>
      </c>
      <c r="Z117" s="321">
        <f t="shared" si="105"/>
        <v>108.356759468294</v>
      </c>
    </row>
    <row r="118" outlineLevel="1"/>
    <row r="119" outlineLevel="1" spans="3:26">
      <c r="C119" s="193" t="s">
        <v>261</v>
      </c>
      <c r="D119" s="181" t="s">
        <v>48</v>
      </c>
      <c r="F119" s="209">
        <f t="shared" ref="F119:U119" si="106">+F110+SUM(F112:F117)</f>
        <v>3081.232</v>
      </c>
      <c r="G119" s="209">
        <f t="shared" si="106"/>
        <v>3042.983</v>
      </c>
      <c r="H119" s="209">
        <f t="shared" si="106"/>
        <v>2964.8</v>
      </c>
      <c r="I119" s="209">
        <f t="shared" si="106"/>
        <v>3038.464</v>
      </c>
      <c r="J119" s="209">
        <f t="shared" si="106"/>
        <v>3178.012</v>
      </c>
      <c r="K119" s="209">
        <f t="shared" si="106"/>
        <v>3215.42985785315</v>
      </c>
      <c r="L119" s="209">
        <f t="shared" si="106"/>
        <v>3287.34023380285</v>
      </c>
      <c r="M119" s="209">
        <f t="shared" si="106"/>
        <v>3355.9327388014</v>
      </c>
      <c r="N119" s="209">
        <f t="shared" si="106"/>
        <v>3422.71486401979</v>
      </c>
      <c r="O119" s="209">
        <f t="shared" si="106"/>
        <v>3479.33090772009</v>
      </c>
      <c r="P119" s="209">
        <f t="shared" si="106"/>
        <v>3555.57353796698</v>
      </c>
      <c r="Q119" s="209">
        <f t="shared" si="106"/>
        <v>3622.76986706545</v>
      </c>
      <c r="R119" s="209">
        <f t="shared" si="106"/>
        <v>3691.07763034727</v>
      </c>
      <c r="S119" s="209">
        <f t="shared" si="106"/>
        <v>3752.62785152575</v>
      </c>
      <c r="T119" s="209">
        <f t="shared" si="106"/>
        <v>3829.59288385243</v>
      </c>
      <c r="U119" s="209">
        <f t="shared" si="106"/>
        <v>3904.72332194206</v>
      </c>
      <c r="W119" s="209">
        <f t="shared" ref="W119:Z119" si="107">+W110+SUM(W112:W117)</f>
        <v>3038.464</v>
      </c>
      <c r="X119" s="209">
        <f t="shared" si="107"/>
        <v>3355.9327388014</v>
      </c>
      <c r="Y119" s="209">
        <f t="shared" si="107"/>
        <v>3622.76986706545</v>
      </c>
      <c r="Z119" s="209">
        <f t="shared" si="107"/>
        <v>3904.72332194206</v>
      </c>
    </row>
    <row r="120" outlineLevel="1"/>
    <row r="121" outlineLevel="1" spans="2:26">
      <c r="B121" s="177" t="s">
        <v>262</v>
      </c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W121" s="178"/>
      <c r="X121" s="178"/>
      <c r="Y121" s="178"/>
      <c r="Z121" s="178"/>
    </row>
    <row r="122" outlineLevel="1" spans="3:26">
      <c r="C122" s="51" t="s">
        <v>263</v>
      </c>
      <c r="D122" s="181" t="s">
        <v>48</v>
      </c>
      <c r="F122" s="263">
        <v>1215</v>
      </c>
      <c r="G122" s="263">
        <v>1213.75</v>
      </c>
      <c r="H122" s="263">
        <v>1212.5</v>
      </c>
      <c r="I122" s="263">
        <v>1262.176</v>
      </c>
      <c r="J122" s="263">
        <v>1407.819</v>
      </c>
      <c r="K122" s="301">
        <f t="shared" ref="K122:U122" si="108">+J122+K169</f>
        <v>1461.13198736131</v>
      </c>
      <c r="L122" s="301">
        <f t="shared" si="108"/>
        <v>1523.45648217653</v>
      </c>
      <c r="M122" s="301">
        <f t="shared" si="108"/>
        <v>1559.10460621654</v>
      </c>
      <c r="N122" s="301">
        <f t="shared" si="108"/>
        <v>1606.97057022627</v>
      </c>
      <c r="O122" s="301">
        <f t="shared" si="108"/>
        <v>1669.51717023509</v>
      </c>
      <c r="P122" s="301">
        <f t="shared" si="108"/>
        <v>1734.68371693619</v>
      </c>
      <c r="Q122" s="301">
        <f t="shared" si="108"/>
        <v>1763.82181523491</v>
      </c>
      <c r="R122" s="301">
        <f t="shared" si="108"/>
        <v>1810.70734259333</v>
      </c>
      <c r="S122" s="301">
        <f t="shared" si="108"/>
        <v>1876.92776655937</v>
      </c>
      <c r="T122" s="301">
        <f t="shared" si="108"/>
        <v>1945.48726618365</v>
      </c>
      <c r="U122" s="301">
        <f t="shared" si="108"/>
        <v>1973.30888516985</v>
      </c>
      <c r="W122" s="301">
        <f t="shared" ref="W122:Z122" si="109">INDEX($F122:$U122,1,MATCH(W$103,$F$103:$U$103,0))</f>
        <v>1262.176</v>
      </c>
      <c r="X122" s="301">
        <f t="shared" si="109"/>
        <v>1559.10460621654</v>
      </c>
      <c r="Y122" s="301">
        <f t="shared" si="109"/>
        <v>1763.82181523491</v>
      </c>
      <c r="Z122" s="301">
        <f t="shared" si="109"/>
        <v>1973.30888516985</v>
      </c>
    </row>
    <row r="123" outlineLevel="1" spans="3:26">
      <c r="C123" s="51" t="s">
        <v>264</v>
      </c>
      <c r="D123" s="181" t="s">
        <v>48</v>
      </c>
      <c r="F123" s="264">
        <v>34.606</v>
      </c>
      <c r="G123" s="264">
        <v>45.066</v>
      </c>
      <c r="H123" s="264">
        <v>37.87</v>
      </c>
      <c r="I123" s="264">
        <v>48.501</v>
      </c>
      <c r="J123" s="264">
        <v>35.92</v>
      </c>
      <c r="K123" s="321">
        <f>-K142*SUM(K$39:K$41)*Num_Periods</f>
        <v>44.362748569108</v>
      </c>
      <c r="L123" s="321">
        <f>-L142*SUM(L$39:L$41)*Num_Periods</f>
        <v>40.979263800195</v>
      </c>
      <c r="M123" s="321">
        <f>-M142*SUM(M$39:M$41)*Num_Periods</f>
        <v>51.0435308283158</v>
      </c>
      <c r="N123" s="321">
        <f>-N142*SUM(N$39:N$41)*Num_Periods</f>
        <v>40.9806161583911</v>
      </c>
      <c r="O123" s="321">
        <f>-O142*SUM(O$39:O$41)*Num_Periods</f>
        <v>53.3162572663396</v>
      </c>
      <c r="P123" s="321">
        <f>-P142*SUM(P$39:P$41)*Num_Periods</f>
        <v>48.849849787001</v>
      </c>
      <c r="Q123" s="321">
        <f>-Q142*SUM(Q$39:Q$41)*Num_Periods</f>
        <v>60.8641512212223</v>
      </c>
      <c r="R123" s="321">
        <f>-R142*SUM(R$39:R$41)*Num_Periods</f>
        <v>48.5994403871744</v>
      </c>
      <c r="S123" s="321">
        <f>-S142*SUM(S$39:S$41)*Num_Periods</f>
        <v>63.61023427981</v>
      </c>
      <c r="T123" s="321">
        <f>-T142*SUM(T$39:T$41)*Num_Periods</f>
        <v>57.9957708101551</v>
      </c>
      <c r="U123" s="321">
        <f>-U142*SUM(U$39:U$41)*Num_Periods</f>
        <v>72.1191059301004</v>
      </c>
      <c r="W123" s="321">
        <f t="shared" ref="W123:Z123" si="110">INDEX($F123:$U123,1,MATCH(W$103,$F$103:$U$103,0))</f>
        <v>48.501</v>
      </c>
      <c r="X123" s="321">
        <f t="shared" si="110"/>
        <v>51.0435308283158</v>
      </c>
      <c r="Y123" s="321">
        <f t="shared" si="110"/>
        <v>60.8641512212223</v>
      </c>
      <c r="Z123" s="321">
        <f t="shared" si="110"/>
        <v>72.1191059301004</v>
      </c>
    </row>
    <row r="124" outlineLevel="1" spans="3:26">
      <c r="C124" s="51" t="s">
        <v>265</v>
      </c>
      <c r="D124" s="200" t="s">
        <v>48</v>
      </c>
      <c r="F124" s="275">
        <v>123.772</v>
      </c>
      <c r="G124" s="275">
        <v>118.035</v>
      </c>
      <c r="H124" s="275">
        <v>151.638999999999</v>
      </c>
      <c r="I124" s="275">
        <v>169.684</v>
      </c>
      <c r="J124" s="275">
        <v>181.335000000002</v>
      </c>
      <c r="K124" s="289">
        <f>-K143*SUM(K$39:K$41)*Num_Periods</f>
        <v>156.331388522625</v>
      </c>
      <c r="L124" s="289">
        <f>-L143*SUM(L$39:L$41)*Num_Periods</f>
        <v>161.602305721501</v>
      </c>
      <c r="M124" s="289">
        <f>-M143*SUM(M$39:M$41)*Num_Periods</f>
        <v>180.532510222249</v>
      </c>
      <c r="N124" s="289">
        <f>-N143*SUM(N$39:N$41)*Num_Periods</f>
        <v>204.760515708572</v>
      </c>
      <c r="O124" s="289">
        <f>-O143*SUM(O$39:O$41)*Num_Periods</f>
        <v>187.882960324069</v>
      </c>
      <c r="P124" s="289">
        <f>-P143*SUM(P$39:P$41)*Num_Periods</f>
        <v>192.640072750424</v>
      </c>
      <c r="Q124" s="289">
        <f>-Q143*SUM(Q$39:Q$41)*Num_Periods</f>
        <v>215.266417197346</v>
      </c>
      <c r="R124" s="289">
        <f>-R143*SUM(R$39:R$41)*Num_Periods</f>
        <v>242.828132167754</v>
      </c>
      <c r="S124" s="289">
        <f>-S143*SUM(S$39:S$41)*Num_Periods</f>
        <v>224.158253714173</v>
      </c>
      <c r="T124" s="289">
        <f>-T143*SUM(T$39:T$41)*Num_Periods</f>
        <v>228.707141512196</v>
      </c>
      <c r="U124" s="289">
        <f>-U143*SUM(U$39:U$41)*Num_Periods</f>
        <v>255.073326967473</v>
      </c>
      <c r="W124" s="289">
        <f t="shared" ref="W124:Z124" si="111">INDEX($F124:$U124,1,MATCH(W$103,$F$103:$U$103,0))</f>
        <v>169.684</v>
      </c>
      <c r="X124" s="289">
        <f t="shared" si="111"/>
        <v>180.532510222249</v>
      </c>
      <c r="Y124" s="289">
        <f t="shared" si="111"/>
        <v>215.266417197346</v>
      </c>
      <c r="Z124" s="289">
        <f t="shared" si="111"/>
        <v>255.073326967473</v>
      </c>
    </row>
    <row r="125" outlineLevel="1" spans="3:26">
      <c r="C125" s="189" t="s">
        <v>266</v>
      </c>
      <c r="D125" s="181" t="s">
        <v>48</v>
      </c>
      <c r="E125" s="212"/>
      <c r="F125" s="276">
        <f t="shared" ref="F125:U125" si="112">SUM(F122:F124)</f>
        <v>1373.378</v>
      </c>
      <c r="G125" s="276">
        <f t="shared" si="112"/>
        <v>1376.851</v>
      </c>
      <c r="H125" s="276">
        <f t="shared" si="112"/>
        <v>1402.009</v>
      </c>
      <c r="I125" s="276">
        <f t="shared" si="112"/>
        <v>1480.361</v>
      </c>
      <c r="J125" s="276">
        <f t="shared" si="112"/>
        <v>1625.074</v>
      </c>
      <c r="K125" s="276">
        <f t="shared" si="112"/>
        <v>1661.82612445304</v>
      </c>
      <c r="L125" s="276">
        <f t="shared" si="112"/>
        <v>1726.03805169822</v>
      </c>
      <c r="M125" s="276">
        <f t="shared" si="112"/>
        <v>1790.68064726711</v>
      </c>
      <c r="N125" s="276">
        <f t="shared" si="112"/>
        <v>1852.71170209324</v>
      </c>
      <c r="O125" s="276">
        <f t="shared" si="112"/>
        <v>1910.7163878255</v>
      </c>
      <c r="P125" s="276">
        <f t="shared" si="112"/>
        <v>1976.17363947361</v>
      </c>
      <c r="Q125" s="276">
        <f t="shared" si="112"/>
        <v>2039.95238365348</v>
      </c>
      <c r="R125" s="276">
        <f t="shared" si="112"/>
        <v>2102.13491514826</v>
      </c>
      <c r="S125" s="276">
        <f t="shared" si="112"/>
        <v>2164.69625455335</v>
      </c>
      <c r="T125" s="276">
        <f t="shared" si="112"/>
        <v>2232.190178506</v>
      </c>
      <c r="U125" s="276">
        <f t="shared" si="112"/>
        <v>2300.50131806742</v>
      </c>
      <c r="W125" s="276">
        <f t="shared" ref="W125:Z125" si="113">SUM(W122:W124)</f>
        <v>1480.361</v>
      </c>
      <c r="X125" s="276">
        <f t="shared" si="113"/>
        <v>1790.68064726711</v>
      </c>
      <c r="Y125" s="276">
        <f t="shared" si="113"/>
        <v>2039.95238365348</v>
      </c>
      <c r="Z125" s="276">
        <f t="shared" si="113"/>
        <v>2300.50131806742</v>
      </c>
    </row>
    <row r="126" outlineLevel="1" spans="11:26">
      <c r="K126" s="322"/>
      <c r="L126" s="322"/>
      <c r="M126" s="322"/>
      <c r="N126" s="322"/>
      <c r="O126" s="322"/>
      <c r="P126" s="322"/>
      <c r="Q126" s="322"/>
      <c r="R126" s="322"/>
      <c r="S126" s="322"/>
      <c r="T126" s="322"/>
      <c r="U126" s="322"/>
      <c r="W126" s="322"/>
      <c r="X126" s="322"/>
      <c r="Y126" s="322"/>
      <c r="Z126" s="322"/>
    </row>
    <row r="127" outlineLevel="1" spans="3:26">
      <c r="C127" s="193" t="s">
        <v>267</v>
      </c>
      <c r="D127" s="181" t="s">
        <v>48</v>
      </c>
      <c r="F127" s="319">
        <v>753.45</v>
      </c>
      <c r="G127" s="319">
        <v>708.276</v>
      </c>
      <c r="H127" s="319">
        <v>791.879</v>
      </c>
      <c r="I127" s="319">
        <v>765.752</v>
      </c>
      <c r="J127" s="319">
        <v>772.359</v>
      </c>
      <c r="K127" s="323">
        <f t="shared" ref="K127:U127" si="114">+J127+K148+K151+K156+K171+K172+K173</f>
        <v>766.451133400112</v>
      </c>
      <c r="L127" s="323">
        <f t="shared" si="114"/>
        <v>765.562532104626</v>
      </c>
      <c r="M127" s="323">
        <f t="shared" si="114"/>
        <v>763.8540415343</v>
      </c>
      <c r="N127" s="323">
        <f t="shared" si="114"/>
        <v>762.138161926551</v>
      </c>
      <c r="O127" s="323">
        <f t="shared" si="114"/>
        <v>754.751919894598</v>
      </c>
      <c r="P127" s="323">
        <f t="shared" si="114"/>
        <v>758.635018493375</v>
      </c>
      <c r="Q127" s="323">
        <f t="shared" si="114"/>
        <v>753.036200911977</v>
      </c>
      <c r="R127" s="323">
        <f t="shared" si="114"/>
        <v>753.220112699011</v>
      </c>
      <c r="S127" s="323">
        <f t="shared" si="114"/>
        <v>745.418696972405</v>
      </c>
      <c r="T127" s="323">
        <f t="shared" si="114"/>
        <v>748.592325346425</v>
      </c>
      <c r="U127" s="323">
        <f t="shared" si="114"/>
        <v>748.164229874639</v>
      </c>
      <c r="W127" s="323">
        <f t="shared" ref="W127:Z127" si="115">INDEX($F127:$U127,1,MATCH(W$103,$F$103:$U$103,0))</f>
        <v>765.752</v>
      </c>
      <c r="X127" s="323">
        <f t="shared" si="115"/>
        <v>763.8540415343</v>
      </c>
      <c r="Y127" s="323">
        <f t="shared" si="115"/>
        <v>753.036200911977</v>
      </c>
      <c r="Z127" s="323">
        <f t="shared" si="115"/>
        <v>748.164229874639</v>
      </c>
    </row>
    <row r="128" outlineLevel="1" spans="3:26">
      <c r="C128" s="51" t="s">
        <v>103</v>
      </c>
      <c r="D128" s="181" t="s">
        <v>48</v>
      </c>
      <c r="F128" s="264">
        <v>351.25</v>
      </c>
      <c r="G128" s="264">
        <v>301.25</v>
      </c>
      <c r="H128" s="264">
        <v>201.25</v>
      </c>
      <c r="I128" s="264">
        <v>201.25</v>
      </c>
      <c r="J128" s="264">
        <v>201.25</v>
      </c>
      <c r="K128" s="302">
        <f t="shared" ref="K128:U128" si="116">+J128+K170</f>
        <v>201.25</v>
      </c>
      <c r="L128" s="302">
        <f t="shared" si="116"/>
        <v>201.25</v>
      </c>
      <c r="M128" s="302">
        <f t="shared" si="116"/>
        <v>201.25</v>
      </c>
      <c r="N128" s="302">
        <f t="shared" si="116"/>
        <v>201.25</v>
      </c>
      <c r="O128" s="302">
        <f t="shared" si="116"/>
        <v>201.25</v>
      </c>
      <c r="P128" s="302">
        <f t="shared" si="116"/>
        <v>201.25</v>
      </c>
      <c r="Q128" s="302">
        <f t="shared" si="116"/>
        <v>201.25</v>
      </c>
      <c r="R128" s="302">
        <f t="shared" si="116"/>
        <v>201.25</v>
      </c>
      <c r="S128" s="302">
        <f t="shared" si="116"/>
        <v>201.25</v>
      </c>
      <c r="T128" s="302">
        <f t="shared" si="116"/>
        <v>201.25</v>
      </c>
      <c r="U128" s="302">
        <f t="shared" si="116"/>
        <v>201.25</v>
      </c>
      <c r="W128" s="302">
        <f t="shared" ref="W128:Z128" si="117">INDEX($F128:$U128,1,MATCH(W$103,$F$103:$U$103,0))</f>
        <v>201.25</v>
      </c>
      <c r="X128" s="302">
        <f t="shared" si="117"/>
        <v>201.25</v>
      </c>
      <c r="Y128" s="302">
        <f t="shared" si="117"/>
        <v>201.25</v>
      </c>
      <c r="Z128" s="302">
        <f t="shared" si="117"/>
        <v>201.25</v>
      </c>
    </row>
    <row r="129" outlineLevel="1" spans="3:26">
      <c r="C129" s="51" t="s">
        <v>268</v>
      </c>
      <c r="D129" s="181" t="s">
        <v>48</v>
      </c>
      <c r="F129" s="264">
        <v>603.154</v>
      </c>
      <c r="G129" s="264">
        <v>656.606</v>
      </c>
      <c r="H129" s="264">
        <v>569.662</v>
      </c>
      <c r="I129" s="264">
        <v>591.101</v>
      </c>
      <c r="J129" s="264">
        <v>579.329</v>
      </c>
      <c r="K129" s="289">
        <f t="shared" ref="K129:U129" si="118">+J129+K149</f>
        <v>585.9026</v>
      </c>
      <c r="L129" s="289">
        <f t="shared" si="118"/>
        <v>594.48965</v>
      </c>
      <c r="M129" s="289">
        <f t="shared" si="118"/>
        <v>600.14805</v>
      </c>
      <c r="N129" s="289">
        <f t="shared" si="118"/>
        <v>606.615</v>
      </c>
      <c r="O129" s="289">
        <f t="shared" si="118"/>
        <v>612.6126</v>
      </c>
      <c r="P129" s="289">
        <f t="shared" si="118"/>
        <v>619.51488</v>
      </c>
      <c r="Q129" s="289">
        <f t="shared" si="118"/>
        <v>628.5312825</v>
      </c>
      <c r="R129" s="289">
        <f t="shared" si="118"/>
        <v>634.4726025</v>
      </c>
      <c r="S129" s="289">
        <f t="shared" si="118"/>
        <v>641.2629</v>
      </c>
      <c r="T129" s="289">
        <f t="shared" si="118"/>
        <v>647.56038</v>
      </c>
      <c r="U129" s="289">
        <f t="shared" si="118"/>
        <v>654.807774</v>
      </c>
      <c r="W129" s="289">
        <f t="shared" ref="W129:Z129" si="119">INDEX($F129:$U129,1,MATCH(W$103,$F$103:$U$103,0))</f>
        <v>591.101</v>
      </c>
      <c r="X129" s="289">
        <f t="shared" si="119"/>
        <v>600.14805</v>
      </c>
      <c r="Y129" s="289">
        <f t="shared" si="119"/>
        <v>628.5312825</v>
      </c>
      <c r="Z129" s="289">
        <f t="shared" si="119"/>
        <v>654.807774</v>
      </c>
    </row>
    <row r="130" outlineLevel="1" spans="3:26">
      <c r="C130" s="189" t="s">
        <v>270</v>
      </c>
      <c r="D130" s="190" t="s">
        <v>48</v>
      </c>
      <c r="E130" s="212"/>
      <c r="F130" s="325">
        <f t="shared" ref="F130:U130" si="120">SUM(F127:F129)</f>
        <v>1707.854</v>
      </c>
      <c r="G130" s="325">
        <f t="shared" si="120"/>
        <v>1666.132</v>
      </c>
      <c r="H130" s="325">
        <f t="shared" si="120"/>
        <v>1562.791</v>
      </c>
      <c r="I130" s="325">
        <f t="shared" si="120"/>
        <v>1558.103</v>
      </c>
      <c r="J130" s="325">
        <f t="shared" si="120"/>
        <v>1552.938</v>
      </c>
      <c r="K130" s="325">
        <f t="shared" si="120"/>
        <v>1553.60373340011</v>
      </c>
      <c r="L130" s="325">
        <f t="shared" si="120"/>
        <v>1561.30218210463</v>
      </c>
      <c r="M130" s="325">
        <f t="shared" si="120"/>
        <v>1565.2520915343</v>
      </c>
      <c r="N130" s="325">
        <f t="shared" si="120"/>
        <v>1570.00316192655</v>
      </c>
      <c r="O130" s="325">
        <f t="shared" si="120"/>
        <v>1568.6145198946</v>
      </c>
      <c r="P130" s="325">
        <f t="shared" si="120"/>
        <v>1579.39989849338</v>
      </c>
      <c r="Q130" s="325">
        <f t="shared" si="120"/>
        <v>1582.81748341198</v>
      </c>
      <c r="R130" s="325">
        <f t="shared" si="120"/>
        <v>1588.94271519901</v>
      </c>
      <c r="S130" s="325">
        <f t="shared" si="120"/>
        <v>1587.93159697241</v>
      </c>
      <c r="T130" s="325">
        <f t="shared" si="120"/>
        <v>1597.40270534643</v>
      </c>
      <c r="U130" s="325">
        <f t="shared" si="120"/>
        <v>1604.22200387464</v>
      </c>
      <c r="W130" s="325">
        <f t="shared" ref="W130:Z130" si="121">SUM(W127:W129)</f>
        <v>1558.103</v>
      </c>
      <c r="X130" s="325">
        <f t="shared" si="121"/>
        <v>1565.2520915343</v>
      </c>
      <c r="Y130" s="325">
        <f t="shared" si="121"/>
        <v>1582.81748341198</v>
      </c>
      <c r="Z130" s="325">
        <f t="shared" si="121"/>
        <v>1604.22200387464</v>
      </c>
    </row>
    <row r="131" outlineLevel="1" spans="11:26">
      <c r="K131" s="322"/>
      <c r="L131" s="322"/>
      <c r="M131" s="322"/>
      <c r="N131" s="322"/>
      <c r="O131" s="322"/>
      <c r="P131" s="322"/>
      <c r="Q131" s="322"/>
      <c r="R131" s="322"/>
      <c r="S131" s="322"/>
      <c r="T131" s="322"/>
      <c r="U131" s="322"/>
      <c r="W131" s="322"/>
      <c r="X131" s="322"/>
      <c r="Y131" s="322"/>
      <c r="Z131" s="322"/>
    </row>
    <row r="132" outlineLevel="1" spans="3:26">
      <c r="C132" s="193" t="s">
        <v>271</v>
      </c>
      <c r="D132" s="181" t="s">
        <v>48</v>
      </c>
      <c r="F132" s="326">
        <f t="shared" ref="F132:U132" si="122">+F125+F130</f>
        <v>3081.232</v>
      </c>
      <c r="G132" s="326">
        <f t="shared" si="122"/>
        <v>3042.983</v>
      </c>
      <c r="H132" s="326">
        <f t="shared" si="122"/>
        <v>2964.8</v>
      </c>
      <c r="I132" s="326">
        <f t="shared" si="122"/>
        <v>3038.464</v>
      </c>
      <c r="J132" s="326">
        <f t="shared" si="122"/>
        <v>3178.012</v>
      </c>
      <c r="K132" s="326">
        <f t="shared" si="122"/>
        <v>3215.42985785315</v>
      </c>
      <c r="L132" s="326">
        <f t="shared" si="122"/>
        <v>3287.34023380285</v>
      </c>
      <c r="M132" s="326">
        <f t="shared" si="122"/>
        <v>3355.93273880141</v>
      </c>
      <c r="N132" s="326">
        <f t="shared" si="122"/>
        <v>3422.71486401979</v>
      </c>
      <c r="O132" s="326">
        <f t="shared" si="122"/>
        <v>3479.33090772009</v>
      </c>
      <c r="P132" s="326">
        <f t="shared" si="122"/>
        <v>3555.57353796699</v>
      </c>
      <c r="Q132" s="326">
        <f t="shared" si="122"/>
        <v>3622.76986706545</v>
      </c>
      <c r="R132" s="326">
        <f t="shared" si="122"/>
        <v>3691.07763034727</v>
      </c>
      <c r="S132" s="326">
        <f t="shared" si="122"/>
        <v>3752.62785152576</v>
      </c>
      <c r="T132" s="326">
        <f t="shared" si="122"/>
        <v>3829.59288385243</v>
      </c>
      <c r="U132" s="326">
        <f t="shared" si="122"/>
        <v>3904.72332194206</v>
      </c>
      <c r="W132" s="326">
        <f t="shared" ref="W132:Z132" si="123">+W125+W130</f>
        <v>3038.464</v>
      </c>
      <c r="X132" s="326">
        <f t="shared" si="123"/>
        <v>3355.93273880141</v>
      </c>
      <c r="Y132" s="326">
        <f t="shared" si="123"/>
        <v>3622.76986706545</v>
      </c>
      <c r="Z132" s="326">
        <f t="shared" si="123"/>
        <v>3904.72332194206</v>
      </c>
    </row>
    <row r="133" outlineLevel="1"/>
    <row r="134" outlineLevel="1" spans="3:26">
      <c r="C134" s="193" t="s">
        <v>272</v>
      </c>
      <c r="F134" s="327">
        <f t="shared" ref="F134:U134" si="124">+F119-F132</f>
        <v>0</v>
      </c>
      <c r="G134" s="327">
        <f t="shared" si="124"/>
        <v>0</v>
      </c>
      <c r="H134" s="327">
        <f t="shared" si="124"/>
        <v>0</v>
      </c>
      <c r="I134" s="327">
        <f t="shared" si="124"/>
        <v>0</v>
      </c>
      <c r="J134" s="327">
        <f t="shared" si="124"/>
        <v>0</v>
      </c>
      <c r="K134" s="327">
        <f t="shared" si="124"/>
        <v>0</v>
      </c>
      <c r="L134" s="327">
        <f t="shared" si="124"/>
        <v>0</v>
      </c>
      <c r="M134" s="327">
        <f t="shared" si="124"/>
        <v>0</v>
      </c>
      <c r="N134" s="327">
        <f t="shared" si="124"/>
        <v>0</v>
      </c>
      <c r="O134" s="327">
        <f t="shared" si="124"/>
        <v>0</v>
      </c>
      <c r="P134" s="327">
        <f t="shared" si="124"/>
        <v>0</v>
      </c>
      <c r="Q134" s="327">
        <f t="shared" si="124"/>
        <v>0</v>
      </c>
      <c r="R134" s="327">
        <f t="shared" si="124"/>
        <v>0</v>
      </c>
      <c r="S134" s="327">
        <f t="shared" si="124"/>
        <v>0</v>
      </c>
      <c r="T134" s="327">
        <f t="shared" si="124"/>
        <v>0</v>
      </c>
      <c r="U134" s="327">
        <f t="shared" si="124"/>
        <v>0</v>
      </c>
      <c r="W134" s="327">
        <f t="shared" ref="W134:Z134" si="125">+W119-W132</f>
        <v>0</v>
      </c>
      <c r="X134" s="327">
        <f t="shared" si="125"/>
        <v>0</v>
      </c>
      <c r="Y134" s="327">
        <f t="shared" si="125"/>
        <v>0</v>
      </c>
      <c r="Z134" s="327">
        <f t="shared" si="125"/>
        <v>0</v>
      </c>
    </row>
    <row r="136" spans="2:26">
      <c r="B136" s="254"/>
      <c r="C136" s="254"/>
      <c r="D136" s="255"/>
      <c r="E136" s="256"/>
      <c r="F136" s="257" t="str">
        <f>$F$27</f>
        <v>Historical:</v>
      </c>
      <c r="G136" s="257"/>
      <c r="H136" s="257"/>
      <c r="I136" s="257"/>
      <c r="J136" s="296"/>
      <c r="K136" s="297" t="str">
        <f>$K$27</f>
        <v>Projected:</v>
      </c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W136" s="257" t="str">
        <f>$W$27</f>
        <v>Historical:</v>
      </c>
      <c r="X136" s="297" t="str">
        <f>$X$27</f>
        <v>Projected:</v>
      </c>
      <c r="Y136" s="257"/>
      <c r="Z136" s="257"/>
    </row>
    <row r="137" spans="2:26">
      <c r="B137" s="173" t="s">
        <v>491</v>
      </c>
      <c r="C137" s="173"/>
      <c r="D137" s="174" t="str">
        <f>+$D$5</f>
        <v>Units:</v>
      </c>
      <c r="E137" s="175"/>
      <c r="F137" s="258">
        <f>$F$28</f>
        <v>42460</v>
      </c>
      <c r="G137" s="259">
        <f>$G$28</f>
        <v>42551</v>
      </c>
      <c r="H137" s="260">
        <f>$H$28</f>
        <v>42643</v>
      </c>
      <c r="I137" s="298">
        <f>$I$28</f>
        <v>42735</v>
      </c>
      <c r="J137" s="258">
        <f>$J$28</f>
        <v>42825</v>
      </c>
      <c r="K137" s="299">
        <f>$K$28</f>
        <v>42916</v>
      </c>
      <c r="L137" s="260">
        <f>$L$28</f>
        <v>43008</v>
      </c>
      <c r="M137" s="298">
        <f>$M$28</f>
        <v>43100</v>
      </c>
      <c r="N137" s="258">
        <f>$N$28</f>
        <v>43190</v>
      </c>
      <c r="O137" s="259">
        <f>$O$28</f>
        <v>43281</v>
      </c>
      <c r="P137" s="260">
        <f>$P$28</f>
        <v>43373</v>
      </c>
      <c r="Q137" s="298">
        <f>$Q$28</f>
        <v>43465</v>
      </c>
      <c r="R137" s="258">
        <f>$R$28</f>
        <v>43555</v>
      </c>
      <c r="S137" s="259">
        <f>$S$28</f>
        <v>43646</v>
      </c>
      <c r="T137" s="260">
        <f>$T$28</f>
        <v>43738</v>
      </c>
      <c r="U137" s="298">
        <f>$U$28</f>
        <v>43830</v>
      </c>
      <c r="W137" s="313">
        <f>$W$28</f>
        <v>42735</v>
      </c>
      <c r="X137" s="314">
        <f>$X$28</f>
        <v>43100</v>
      </c>
      <c r="Y137" s="176">
        <f>$Y$28</f>
        <v>43465</v>
      </c>
      <c r="Z137" s="176">
        <f>$Z$28</f>
        <v>43830</v>
      </c>
    </row>
    <row r="138" outlineLevel="1"/>
    <row r="139" outlineLevel="1" spans="3:26">
      <c r="C139" s="11" t="s">
        <v>492</v>
      </c>
      <c r="D139" s="736" t="s">
        <v>56</v>
      </c>
      <c r="F139" s="231">
        <f>+F113/(F$36*Num_Periods)</f>
        <v>0.0195027748914611</v>
      </c>
      <c r="G139" s="231">
        <f>+G113/(G$36*Num_Periods)</f>
        <v>0.0183933933933934</v>
      </c>
      <c r="H139" s="231">
        <f>+H113/(H$36*Num_Periods)</f>
        <v>0.0239194199187052</v>
      </c>
      <c r="I139" s="231">
        <f>+I113/(I$36*Num_Periods)</f>
        <v>0.0203492885777201</v>
      </c>
      <c r="J139" s="231">
        <f>+J113/(J$36*Num_Periods)</f>
        <v>0.0170342118092398</v>
      </c>
      <c r="K139" s="320">
        <f t="shared" ref="K139:U139" si="126">+G139</f>
        <v>0.0183933933933934</v>
      </c>
      <c r="L139" s="320">
        <f t="shared" si="126"/>
        <v>0.0239194199187052</v>
      </c>
      <c r="M139" s="320">
        <f t="shared" si="126"/>
        <v>0.0203492885777201</v>
      </c>
      <c r="N139" s="320">
        <f t="shared" si="126"/>
        <v>0.0170342118092398</v>
      </c>
      <c r="O139" s="320">
        <f t="shared" si="126"/>
        <v>0.0183933933933934</v>
      </c>
      <c r="P139" s="320">
        <f t="shared" si="126"/>
        <v>0.0239194199187052</v>
      </c>
      <c r="Q139" s="320">
        <f t="shared" si="126"/>
        <v>0.0203492885777201</v>
      </c>
      <c r="R139" s="320">
        <f t="shared" si="126"/>
        <v>0.0170342118092398</v>
      </c>
      <c r="S139" s="320">
        <f t="shared" si="126"/>
        <v>0.0183933933933934</v>
      </c>
      <c r="T139" s="320">
        <f t="shared" si="126"/>
        <v>0.0239194199187052</v>
      </c>
      <c r="U139" s="320">
        <f t="shared" si="126"/>
        <v>0.0203492885777201</v>
      </c>
      <c r="W139" s="231">
        <f t="shared" ref="W139:Z139" si="127">+W113/W$36</f>
        <v>0.0218138418501194</v>
      </c>
      <c r="X139" s="231">
        <f t="shared" si="127"/>
        <v>0.0226707665462975</v>
      </c>
      <c r="Y139" s="231">
        <f t="shared" si="127"/>
        <v>0.0225714439817192</v>
      </c>
      <c r="Z139" s="231">
        <f t="shared" si="127"/>
        <v>0.0224701965086659</v>
      </c>
    </row>
    <row r="140" outlineLevel="1" spans="3:26">
      <c r="C140" s="11" t="s">
        <v>493</v>
      </c>
      <c r="D140" s="736" t="s">
        <v>56</v>
      </c>
      <c r="F140" s="231">
        <f>+F117/(F$36*Num_Periods)</f>
        <v>0.139616509194597</v>
      </c>
      <c r="G140" s="231">
        <f>+G117/(G$36*Num_Periods)</f>
        <v>0.120314615133268</v>
      </c>
      <c r="H140" s="231">
        <f>+H117/(H$36*Num_Periods)</f>
        <v>0.126881616366154</v>
      </c>
      <c r="I140" s="231">
        <f>+I117/(I$36*Num_Periods)</f>
        <v>0.118323358364858</v>
      </c>
      <c r="J140" s="231">
        <f>+J117/(J$36*Num_Periods)</f>
        <v>0.125503641994781</v>
      </c>
      <c r="K140" s="320">
        <f t="shared" ref="K140:U140" si="128">+G140</f>
        <v>0.120314615133268</v>
      </c>
      <c r="L140" s="320">
        <f t="shared" si="128"/>
        <v>0.126881616366154</v>
      </c>
      <c r="M140" s="320">
        <f t="shared" si="128"/>
        <v>0.118323358364858</v>
      </c>
      <c r="N140" s="320">
        <f t="shared" si="128"/>
        <v>0.125503641994781</v>
      </c>
      <c r="O140" s="320">
        <f t="shared" si="128"/>
        <v>0.120314615133268</v>
      </c>
      <c r="P140" s="320">
        <f t="shared" si="128"/>
        <v>0.126881616366154</v>
      </c>
      <c r="Q140" s="320">
        <f t="shared" si="128"/>
        <v>0.118323358364858</v>
      </c>
      <c r="R140" s="320">
        <f t="shared" si="128"/>
        <v>0.125503641994781</v>
      </c>
      <c r="S140" s="320">
        <f t="shared" si="128"/>
        <v>0.120314615133268</v>
      </c>
      <c r="T140" s="320">
        <f t="shared" si="128"/>
        <v>0.126881616366154</v>
      </c>
      <c r="U140" s="320">
        <f t="shared" si="128"/>
        <v>0.118323358364858</v>
      </c>
      <c r="W140" s="231">
        <f t="shared" ref="W140:Z140" si="129">+W117/W$36</f>
        <v>0.126839177531346</v>
      </c>
      <c r="X140" s="231">
        <f t="shared" si="129"/>
        <v>0.131821868082434</v>
      </c>
      <c r="Y140" s="231">
        <f t="shared" si="129"/>
        <v>0.131244345219291</v>
      </c>
      <c r="Z140" s="231">
        <f t="shared" si="129"/>
        <v>0.130655629746912</v>
      </c>
    </row>
    <row r="141" outlineLevel="1"/>
    <row r="142" outlineLevel="1" spans="3:26">
      <c r="C142" s="11" t="s">
        <v>494</v>
      </c>
      <c r="D142" s="736" t="s">
        <v>56</v>
      </c>
      <c r="F142" s="231">
        <f>-F123/((SUM(F$39:F$41)+F$43)*Num_Periods)</f>
        <v>0.175861368025206</v>
      </c>
      <c r="G142" s="231">
        <f>-G123/((SUM(G$39:G$41)+G$43)*Num_Periods)</f>
        <v>0.215668070444104</v>
      </c>
      <c r="H142" s="231">
        <f>-H123/((SUM(H$39:H$41)+H$43)*Num_Periods)</f>
        <v>0.187649891978673</v>
      </c>
      <c r="I142" s="231">
        <f>-I123/((SUM(I$39:I$41)+I$43)*Num_Periods)</f>
        <v>0.212054039874082</v>
      </c>
      <c r="J142" s="231">
        <f>-J123/((SUM(J$39:J$41)+J$43)*Num_Periods)</f>
        <v>0.164114185459995</v>
      </c>
      <c r="K142" s="320">
        <f t="shared" ref="K142:U142" si="130">+G142</f>
        <v>0.215668070444104</v>
      </c>
      <c r="L142" s="320">
        <f t="shared" si="130"/>
        <v>0.187649891978673</v>
      </c>
      <c r="M142" s="320">
        <f t="shared" si="130"/>
        <v>0.212054039874082</v>
      </c>
      <c r="N142" s="320">
        <f t="shared" si="130"/>
        <v>0.164114185459995</v>
      </c>
      <c r="O142" s="320">
        <f t="shared" si="130"/>
        <v>0.215668070444104</v>
      </c>
      <c r="P142" s="320">
        <f t="shared" si="130"/>
        <v>0.187649891978673</v>
      </c>
      <c r="Q142" s="320">
        <f t="shared" si="130"/>
        <v>0.212054039874082</v>
      </c>
      <c r="R142" s="320">
        <f t="shared" si="130"/>
        <v>0.164114185459995</v>
      </c>
      <c r="S142" s="320">
        <f t="shared" si="130"/>
        <v>0.215668070444104</v>
      </c>
      <c r="T142" s="320">
        <f t="shared" si="130"/>
        <v>0.187649891978673</v>
      </c>
      <c r="U142" s="320">
        <f t="shared" si="130"/>
        <v>0.212054039874082</v>
      </c>
      <c r="W142" s="231">
        <f t="shared" ref="W142:Z142" si="131">-W123/SUM(W$39:W$41)</f>
        <v>0.245839817119222</v>
      </c>
      <c r="X142" s="231">
        <f t="shared" si="131"/>
        <v>0.233918577250843</v>
      </c>
      <c r="Y142" s="231">
        <f t="shared" si="131"/>
        <v>0.233135982739104</v>
      </c>
      <c r="Z142" s="231">
        <f t="shared" si="131"/>
        <v>0.232597555960042</v>
      </c>
    </row>
    <row r="143" outlineLevel="1" spans="3:26">
      <c r="C143" s="11" t="s">
        <v>495</v>
      </c>
      <c r="D143" s="736" t="s">
        <v>56</v>
      </c>
      <c r="F143" s="231">
        <f>-F124/((SUM(F$39:F$41)+F$43)*Num_Periods)</f>
        <v>0.628986685638784</v>
      </c>
      <c r="G143" s="231">
        <f>-G124/((SUM(G$39:G$41)+G$43)*Num_Periods)</f>
        <v>0.564868874425727</v>
      </c>
      <c r="H143" s="231">
        <f>-H124/((SUM(H$39:H$41)+H$43)*Num_Periods)</f>
        <v>0.751387429885235</v>
      </c>
      <c r="I143" s="231">
        <f>-I124/((SUM(I$39:I$41)+I$43)*Num_Periods)</f>
        <v>0.741885274571529</v>
      </c>
      <c r="J143" s="231">
        <f>-J124/((SUM(J$39:J$41)+J$43)*Num_Periods)</f>
        <v>0.82849793486605</v>
      </c>
      <c r="K143" s="182">
        <v>0.76</v>
      </c>
      <c r="L143" s="182">
        <v>0.74</v>
      </c>
      <c r="M143" s="182">
        <v>0.75</v>
      </c>
      <c r="N143" s="182">
        <v>0.82</v>
      </c>
      <c r="O143" s="320">
        <f t="shared" ref="O143:U143" si="132">+K143</f>
        <v>0.76</v>
      </c>
      <c r="P143" s="320">
        <f t="shared" si="132"/>
        <v>0.74</v>
      </c>
      <c r="Q143" s="320">
        <f t="shared" si="132"/>
        <v>0.75</v>
      </c>
      <c r="R143" s="320">
        <f t="shared" si="132"/>
        <v>0.82</v>
      </c>
      <c r="S143" s="320">
        <f t="shared" si="132"/>
        <v>0.76</v>
      </c>
      <c r="T143" s="320">
        <f t="shared" si="132"/>
        <v>0.74</v>
      </c>
      <c r="U143" s="320">
        <f t="shared" si="132"/>
        <v>0.75</v>
      </c>
      <c r="W143" s="231">
        <f t="shared" ref="W143:Z143" si="133">-W124/SUM(W$39:W$41)</f>
        <v>0.860087081257255</v>
      </c>
      <c r="X143" s="231">
        <f t="shared" si="133"/>
        <v>0.827331245574515</v>
      </c>
      <c r="Y143" s="231">
        <f t="shared" si="133"/>
        <v>0.824563338468606</v>
      </c>
      <c r="Z143" s="231">
        <f t="shared" si="133"/>
        <v>0.822659012172647</v>
      </c>
    </row>
    <row r="145" spans="2:26">
      <c r="B145" s="254"/>
      <c r="C145" s="254"/>
      <c r="D145" s="255"/>
      <c r="E145" s="256"/>
      <c r="F145" s="257" t="str">
        <f>$F$27</f>
        <v>Historical:</v>
      </c>
      <c r="G145" s="257"/>
      <c r="H145" s="257"/>
      <c r="I145" s="257"/>
      <c r="J145" s="296"/>
      <c r="K145" s="297" t="str">
        <f>$K$27</f>
        <v>Projected:</v>
      </c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W145" s="257" t="str">
        <f>$W$27</f>
        <v>Historical:</v>
      </c>
      <c r="X145" s="297" t="str">
        <f>$X$27</f>
        <v>Projected:</v>
      </c>
      <c r="Y145" s="257"/>
      <c r="Z145" s="257"/>
    </row>
    <row r="146" spans="2:26">
      <c r="B146" s="173" t="s">
        <v>273</v>
      </c>
      <c r="C146" s="173"/>
      <c r="D146" s="174" t="str">
        <f>+$D$5</f>
        <v>Units:</v>
      </c>
      <c r="E146" s="175"/>
      <c r="F146" s="258">
        <f>$F$28</f>
        <v>42460</v>
      </c>
      <c r="G146" s="259">
        <f>$G$28</f>
        <v>42551</v>
      </c>
      <c r="H146" s="260">
        <f>$H$28</f>
        <v>42643</v>
      </c>
      <c r="I146" s="298">
        <f>$I$28</f>
        <v>42735</v>
      </c>
      <c r="J146" s="258">
        <f>$J$28</f>
        <v>42825</v>
      </c>
      <c r="K146" s="299">
        <f>$K$28</f>
        <v>42916</v>
      </c>
      <c r="L146" s="260">
        <f>$L$28</f>
        <v>43008</v>
      </c>
      <c r="M146" s="298">
        <f>$M$28</f>
        <v>43100</v>
      </c>
      <c r="N146" s="258">
        <f>$N$28</f>
        <v>43190</v>
      </c>
      <c r="O146" s="259">
        <f>$O$28</f>
        <v>43281</v>
      </c>
      <c r="P146" s="260">
        <f>$P$28</f>
        <v>43373</v>
      </c>
      <c r="Q146" s="298">
        <f>$Q$28</f>
        <v>43465</v>
      </c>
      <c r="R146" s="258">
        <f>$R$28</f>
        <v>43555</v>
      </c>
      <c r="S146" s="259">
        <f>$S$28</f>
        <v>43646</v>
      </c>
      <c r="T146" s="260">
        <f>$T$28</f>
        <v>43738</v>
      </c>
      <c r="U146" s="298">
        <f>$U$28</f>
        <v>43830</v>
      </c>
      <c r="W146" s="313">
        <f>$W$28</f>
        <v>42735</v>
      </c>
      <c r="X146" s="314">
        <f>$X$28</f>
        <v>43100</v>
      </c>
      <c r="Y146" s="176">
        <f>$Y$28</f>
        <v>43465</v>
      </c>
      <c r="Z146" s="176">
        <f>$Z$28</f>
        <v>43830</v>
      </c>
    </row>
    <row r="147" outlineLevel="1" spans="3:8">
      <c r="C147" s="193" t="s">
        <v>274</v>
      </c>
      <c r="H147" s="328"/>
    </row>
    <row r="148" outlineLevel="1" spans="3:26">
      <c r="C148" s="51" t="s">
        <v>275</v>
      </c>
      <c r="D148" s="181" t="s">
        <v>48</v>
      </c>
      <c r="F148" s="329">
        <f t="shared" ref="F148:U148" si="134">+F59</f>
        <v>24.408</v>
      </c>
      <c r="G148" s="329">
        <f t="shared" si="134"/>
        <v>37.299</v>
      </c>
      <c r="H148" s="329">
        <f t="shared" si="134"/>
        <v>28.524</v>
      </c>
      <c r="I148" s="329">
        <f t="shared" si="134"/>
        <v>33.734</v>
      </c>
      <c r="J148" s="329">
        <f t="shared" si="134"/>
        <v>35.23</v>
      </c>
      <c r="K148" s="329">
        <f t="shared" si="134"/>
        <v>31.6170312636908</v>
      </c>
      <c r="L148" s="329">
        <f t="shared" si="134"/>
        <v>35.0199370769364</v>
      </c>
      <c r="M148" s="329">
        <f t="shared" si="134"/>
        <v>41.3971336442303</v>
      </c>
      <c r="N148" s="329">
        <f t="shared" si="134"/>
        <v>42.0053648048507</v>
      </c>
      <c r="O148" s="329">
        <f t="shared" si="134"/>
        <v>40.5951663257733</v>
      </c>
      <c r="P148" s="329">
        <f t="shared" si="134"/>
        <v>45.5032261182617</v>
      </c>
      <c r="Q148" s="329">
        <f t="shared" si="134"/>
        <v>47.699322199675</v>
      </c>
      <c r="R148" s="329">
        <f t="shared" si="134"/>
        <v>51.6406436289974</v>
      </c>
      <c r="S148" s="329">
        <f t="shared" si="134"/>
        <v>50.0403132828664</v>
      </c>
      <c r="T148" s="329">
        <f t="shared" si="134"/>
        <v>56.1328643456708</v>
      </c>
      <c r="U148" s="329">
        <f t="shared" si="134"/>
        <v>60.7781232101008</v>
      </c>
      <c r="W148" s="301">
        <f t="shared" ref="W148:Z148" si="135">SUMIF($F$25:$U$25,W$25,$F148:$U148)</f>
        <v>123.965</v>
      </c>
      <c r="X148" s="301">
        <f t="shared" si="135"/>
        <v>143.264101984857</v>
      </c>
      <c r="Y148" s="301">
        <f t="shared" si="135"/>
        <v>175.803079448561</v>
      </c>
      <c r="Z148" s="301">
        <f t="shared" si="135"/>
        <v>218.591944467635</v>
      </c>
    </row>
    <row r="149" outlineLevel="1" spans="3:26">
      <c r="C149" s="51" t="s">
        <v>276</v>
      </c>
      <c r="D149" s="181" t="s">
        <v>48</v>
      </c>
      <c r="F149" s="309">
        <f t="shared" ref="F149:U149" si="136">-F55</f>
        <v>5.478</v>
      </c>
      <c r="G149" s="309">
        <f t="shared" si="136"/>
        <v>7.467</v>
      </c>
      <c r="H149" s="309">
        <f t="shared" si="136"/>
        <v>5.144</v>
      </c>
      <c r="I149" s="309">
        <f t="shared" si="136"/>
        <v>6.159</v>
      </c>
      <c r="J149" s="309">
        <f t="shared" si="136"/>
        <v>5.712</v>
      </c>
      <c r="K149" s="309">
        <f t="shared" si="136"/>
        <v>6.5736</v>
      </c>
      <c r="L149" s="309">
        <f t="shared" si="136"/>
        <v>8.58705</v>
      </c>
      <c r="M149" s="309">
        <f t="shared" si="136"/>
        <v>5.6584</v>
      </c>
      <c r="N149" s="309">
        <f t="shared" si="136"/>
        <v>6.46695</v>
      </c>
      <c r="O149" s="309">
        <f t="shared" si="136"/>
        <v>5.9976</v>
      </c>
      <c r="P149" s="309">
        <f t="shared" si="136"/>
        <v>6.90228</v>
      </c>
      <c r="Q149" s="309">
        <f t="shared" si="136"/>
        <v>9.0164025</v>
      </c>
      <c r="R149" s="309">
        <f t="shared" si="136"/>
        <v>5.94132</v>
      </c>
      <c r="S149" s="309">
        <f t="shared" si="136"/>
        <v>6.7902975</v>
      </c>
      <c r="T149" s="309">
        <f t="shared" si="136"/>
        <v>6.29748</v>
      </c>
      <c r="U149" s="309">
        <f t="shared" si="136"/>
        <v>7.247394</v>
      </c>
      <c r="W149" s="302">
        <f t="shared" ref="W149:Z149" si="137">SUMIF($F$25:$U$25,W$25,$F149:$U149)</f>
        <v>24.248</v>
      </c>
      <c r="X149" s="302">
        <f t="shared" si="137"/>
        <v>26.53105</v>
      </c>
      <c r="Y149" s="302">
        <f t="shared" si="137"/>
        <v>28.3832325</v>
      </c>
      <c r="Z149" s="302">
        <f t="shared" si="137"/>
        <v>26.2764915</v>
      </c>
    </row>
    <row r="150" outlineLevel="1" spans="3:26">
      <c r="C150" s="51" t="s">
        <v>279</v>
      </c>
      <c r="D150" s="181" t="s">
        <v>48</v>
      </c>
      <c r="F150" s="309">
        <f t="shared" ref="F150:U150" si="138">-F42</f>
        <v>25.843</v>
      </c>
      <c r="G150" s="309">
        <f t="shared" si="138"/>
        <v>26.323</v>
      </c>
      <c r="H150" s="309">
        <f t="shared" si="138"/>
        <v>27.493</v>
      </c>
      <c r="I150" s="309">
        <f t="shared" si="138"/>
        <v>28.122</v>
      </c>
      <c r="J150" s="309">
        <f t="shared" si="138"/>
        <v>28.207</v>
      </c>
      <c r="K150" s="309">
        <f t="shared" si="138"/>
        <v>28.1551110266629</v>
      </c>
      <c r="L150" s="309">
        <f t="shared" si="138"/>
        <v>30.0915926113336</v>
      </c>
      <c r="M150" s="309">
        <f t="shared" si="138"/>
        <v>32.486456477401</v>
      </c>
      <c r="N150" s="309">
        <f t="shared" si="138"/>
        <v>33.5416364382295</v>
      </c>
      <c r="O150" s="309">
        <f t="shared" si="138"/>
        <v>33.8202595151874</v>
      </c>
      <c r="P150" s="309">
        <f t="shared" si="138"/>
        <v>35.8023457466919</v>
      </c>
      <c r="Q150" s="309">
        <f t="shared" si="138"/>
        <v>38.5301489664711</v>
      </c>
      <c r="R150" s="309">
        <f t="shared" si="138"/>
        <v>39.6659837887262</v>
      </c>
      <c r="S150" s="309">
        <f t="shared" si="138"/>
        <v>40.3248378511235</v>
      </c>
      <c r="T150" s="309">
        <f t="shared" si="138"/>
        <v>42.4349263715633</v>
      </c>
      <c r="U150" s="309">
        <f t="shared" si="138"/>
        <v>45.4400356362565</v>
      </c>
      <c r="W150" s="302">
        <f t="shared" ref="W150:Z150" si="139">SUMIF($F$25:$U$25,W$25,$F150:$U150)</f>
        <v>107.781</v>
      </c>
      <c r="X150" s="302">
        <f t="shared" si="139"/>
        <v>118.940160115398</v>
      </c>
      <c r="Y150" s="302">
        <f t="shared" si="139"/>
        <v>141.69439066658</v>
      </c>
      <c r="Z150" s="302">
        <f t="shared" si="139"/>
        <v>167.865783647669</v>
      </c>
    </row>
    <row r="151" outlineLevel="1" spans="3:26">
      <c r="C151" s="51" t="s">
        <v>281</v>
      </c>
      <c r="D151" s="181" t="s">
        <v>48</v>
      </c>
      <c r="F151" s="309">
        <f t="shared" ref="F151:U151" si="140">-F48</f>
        <v>0</v>
      </c>
      <c r="G151" s="309">
        <f t="shared" si="140"/>
        <v>-23.064</v>
      </c>
      <c r="H151" s="309">
        <f t="shared" si="140"/>
        <v>0.231</v>
      </c>
      <c r="I151" s="309">
        <f t="shared" si="140"/>
        <v>0</v>
      </c>
      <c r="J151" s="309">
        <f t="shared" si="140"/>
        <v>0</v>
      </c>
      <c r="K151" s="309">
        <f t="shared" si="140"/>
        <v>0</v>
      </c>
      <c r="L151" s="309">
        <f t="shared" si="140"/>
        <v>0</v>
      </c>
      <c r="M151" s="309">
        <f t="shared" si="140"/>
        <v>0</v>
      </c>
      <c r="N151" s="309">
        <f t="shared" si="140"/>
        <v>0</v>
      </c>
      <c r="O151" s="309">
        <f t="shared" si="140"/>
        <v>0</v>
      </c>
      <c r="P151" s="309">
        <f t="shared" si="140"/>
        <v>0</v>
      </c>
      <c r="Q151" s="309">
        <f t="shared" si="140"/>
        <v>0</v>
      </c>
      <c r="R151" s="309">
        <f t="shared" si="140"/>
        <v>0</v>
      </c>
      <c r="S151" s="309">
        <f t="shared" si="140"/>
        <v>0</v>
      </c>
      <c r="T151" s="309">
        <f t="shared" si="140"/>
        <v>0</v>
      </c>
      <c r="U151" s="309">
        <f t="shared" si="140"/>
        <v>0</v>
      </c>
      <c r="W151" s="302">
        <f t="shared" ref="W151:Z151" si="141">SUMIF($F$25:$U$25,W$25,$F151:$U151)</f>
        <v>-22.833</v>
      </c>
      <c r="X151" s="302">
        <f t="shared" si="141"/>
        <v>0</v>
      </c>
      <c r="Y151" s="302">
        <f t="shared" si="141"/>
        <v>0</v>
      </c>
      <c r="Z151" s="302">
        <f t="shared" si="141"/>
        <v>0</v>
      </c>
    </row>
    <row r="152" outlineLevel="1" spans="3:26">
      <c r="C152" s="51" t="s">
        <v>552</v>
      </c>
      <c r="D152" s="181" t="s">
        <v>48</v>
      </c>
      <c r="F152" s="302">
        <f t="shared" ref="F152:U152" si="142">-F50</f>
        <v>0</v>
      </c>
      <c r="G152" s="302">
        <f t="shared" si="142"/>
        <v>0</v>
      </c>
      <c r="H152" s="302">
        <f t="shared" si="142"/>
        <v>1.232</v>
      </c>
      <c r="I152" s="302">
        <f t="shared" si="142"/>
        <v>0</v>
      </c>
      <c r="J152" s="302">
        <f t="shared" si="142"/>
        <v>0</v>
      </c>
      <c r="K152" s="302">
        <f t="shared" si="142"/>
        <v>0</v>
      </c>
      <c r="L152" s="302">
        <f t="shared" si="142"/>
        <v>0</v>
      </c>
      <c r="M152" s="302">
        <f t="shared" si="142"/>
        <v>0</v>
      </c>
      <c r="N152" s="302">
        <f t="shared" si="142"/>
        <v>0</v>
      </c>
      <c r="O152" s="302">
        <f t="shared" si="142"/>
        <v>0</v>
      </c>
      <c r="P152" s="302">
        <f t="shared" si="142"/>
        <v>0</v>
      </c>
      <c r="Q152" s="302">
        <f t="shared" si="142"/>
        <v>0</v>
      </c>
      <c r="R152" s="302">
        <f t="shared" si="142"/>
        <v>0</v>
      </c>
      <c r="S152" s="302">
        <f t="shared" si="142"/>
        <v>0</v>
      </c>
      <c r="T152" s="302">
        <f t="shared" si="142"/>
        <v>0</v>
      </c>
      <c r="U152" s="302">
        <f t="shared" si="142"/>
        <v>0</v>
      </c>
      <c r="W152" s="302"/>
      <c r="X152" s="302"/>
      <c r="Y152" s="302"/>
      <c r="Z152" s="302"/>
    </row>
    <row r="153" outlineLevel="1" spans="3:26">
      <c r="C153" s="51" t="s">
        <v>282</v>
      </c>
      <c r="D153" s="181" t="s">
        <v>48</v>
      </c>
      <c r="F153" s="264">
        <v>-1.737</v>
      </c>
      <c r="G153" s="264">
        <v>0.696</v>
      </c>
      <c r="H153" s="264">
        <v>-0.133</v>
      </c>
      <c r="I153" s="264">
        <v>1.081</v>
      </c>
      <c r="J153" s="264">
        <v>1.718</v>
      </c>
      <c r="K153" s="333">
        <f t="shared" ref="K153:U153" si="143">+K183*K36</f>
        <v>-1.92357884154363</v>
      </c>
      <c r="L153" s="333">
        <f t="shared" si="143"/>
        <v>0.796087537693134</v>
      </c>
      <c r="M153" s="333">
        <f t="shared" si="143"/>
        <v>-0.16206184063398</v>
      </c>
      <c r="N153" s="333">
        <f t="shared" si="143"/>
        <v>1.26544818086218</v>
      </c>
      <c r="O153" s="333">
        <f t="shared" si="143"/>
        <v>2.03409792358368</v>
      </c>
      <c r="P153" s="333">
        <f t="shared" si="143"/>
        <v>-2.44740602759358</v>
      </c>
      <c r="Q153" s="333">
        <f t="shared" si="143"/>
        <v>1.05115135790039</v>
      </c>
      <c r="R153" s="333">
        <f t="shared" si="143"/>
        <v>-0.194212546751336</v>
      </c>
      <c r="S153" s="333">
        <f t="shared" si="143"/>
        <v>1.50231639935757</v>
      </c>
      <c r="T153" s="333">
        <f t="shared" si="143"/>
        <v>2.55364292300706</v>
      </c>
      <c r="U153" s="333">
        <f t="shared" si="143"/>
        <v>-3.20318573816114</v>
      </c>
      <c r="W153" s="302">
        <f t="shared" ref="W153:Z153" si="144">SUMIF($F$25:$U$25,W$25,$F153:$U153)</f>
        <v>-0.0930000000000002</v>
      </c>
      <c r="X153" s="302">
        <f t="shared" si="144"/>
        <v>0.428446855515525</v>
      </c>
      <c r="Y153" s="302">
        <f t="shared" si="144"/>
        <v>1.90329143475266</v>
      </c>
      <c r="Z153" s="302">
        <f t="shared" si="144"/>
        <v>0.658561037452148</v>
      </c>
    </row>
    <row r="154" outlineLevel="1" spans="3:26">
      <c r="C154" s="51" t="s">
        <v>284</v>
      </c>
      <c r="D154" s="181" t="s">
        <v>48</v>
      </c>
      <c r="F154" s="264">
        <v>-0.116</v>
      </c>
      <c r="G154" s="264">
        <v>-0.106</v>
      </c>
      <c r="H154" s="264">
        <v>-0.098</v>
      </c>
      <c r="I154" s="264">
        <v>-0.091</v>
      </c>
      <c r="J154" s="264">
        <v>-0.271</v>
      </c>
      <c r="K154" s="334">
        <f t="shared" ref="K154:U154" si="145">+G154</f>
        <v>-0.106</v>
      </c>
      <c r="L154" s="334">
        <f t="shared" si="145"/>
        <v>-0.098</v>
      </c>
      <c r="M154" s="334">
        <f t="shared" si="145"/>
        <v>-0.091</v>
      </c>
      <c r="N154" s="334">
        <f t="shared" si="145"/>
        <v>-0.271</v>
      </c>
      <c r="O154" s="334">
        <f t="shared" si="145"/>
        <v>-0.106</v>
      </c>
      <c r="P154" s="334">
        <f t="shared" si="145"/>
        <v>-0.098</v>
      </c>
      <c r="Q154" s="334">
        <f t="shared" si="145"/>
        <v>-0.091</v>
      </c>
      <c r="R154" s="334">
        <f t="shared" si="145"/>
        <v>-0.271</v>
      </c>
      <c r="S154" s="334">
        <f t="shared" si="145"/>
        <v>-0.106</v>
      </c>
      <c r="T154" s="334">
        <f t="shared" si="145"/>
        <v>-0.098</v>
      </c>
      <c r="U154" s="338">
        <f t="shared" si="145"/>
        <v>-0.091</v>
      </c>
      <c r="W154" s="302">
        <f t="shared" ref="W154:Z154" si="146">SUMIF($F$25:$U$25,W$25,$F154:$U154)</f>
        <v>-0.411</v>
      </c>
      <c r="X154" s="302">
        <f t="shared" si="146"/>
        <v>-0.566</v>
      </c>
      <c r="Y154" s="302">
        <f t="shared" si="146"/>
        <v>-0.566</v>
      </c>
      <c r="Z154" s="302">
        <f t="shared" si="146"/>
        <v>-0.566</v>
      </c>
    </row>
    <row r="155" outlineLevel="1" spans="3:26">
      <c r="C155" s="51" t="s">
        <v>288</v>
      </c>
      <c r="D155" s="181" t="s">
        <v>48</v>
      </c>
      <c r="F155" s="264">
        <v>0</v>
      </c>
      <c r="G155" s="264">
        <v>0</v>
      </c>
      <c r="H155" s="264">
        <v>0</v>
      </c>
      <c r="I155" s="264">
        <v>0</v>
      </c>
      <c r="J155" s="264">
        <v>0</v>
      </c>
      <c r="K155" s="334">
        <f t="shared" ref="K155:U155" si="147">+J155</f>
        <v>0</v>
      </c>
      <c r="L155" s="334">
        <f t="shared" si="147"/>
        <v>0</v>
      </c>
      <c r="M155" s="334">
        <f t="shared" si="147"/>
        <v>0</v>
      </c>
      <c r="N155" s="334">
        <f t="shared" si="147"/>
        <v>0</v>
      </c>
      <c r="O155" s="334">
        <f t="shared" si="147"/>
        <v>0</v>
      </c>
      <c r="P155" s="334">
        <f t="shared" si="147"/>
        <v>0</v>
      </c>
      <c r="Q155" s="334">
        <f t="shared" si="147"/>
        <v>0</v>
      </c>
      <c r="R155" s="334">
        <f t="shared" si="147"/>
        <v>0</v>
      </c>
      <c r="S155" s="334">
        <f t="shared" si="147"/>
        <v>0</v>
      </c>
      <c r="T155" s="334">
        <f t="shared" si="147"/>
        <v>0</v>
      </c>
      <c r="U155" s="334">
        <f t="shared" si="147"/>
        <v>0</v>
      </c>
      <c r="W155" s="302">
        <f t="shared" ref="W155:Z155" si="148">SUMIF($F$25:$U$25,W$25,$F155:$U155)</f>
        <v>0</v>
      </c>
      <c r="X155" s="302">
        <f t="shared" si="148"/>
        <v>0</v>
      </c>
      <c r="Y155" s="302">
        <f t="shared" si="148"/>
        <v>0</v>
      </c>
      <c r="Z155" s="302">
        <f t="shared" si="148"/>
        <v>0</v>
      </c>
    </row>
    <row r="156" outlineLevel="1" spans="3:26">
      <c r="C156" s="51" t="s">
        <v>289</v>
      </c>
      <c r="D156" s="181" t="s">
        <v>48</v>
      </c>
      <c r="F156" s="264">
        <v>2.614</v>
      </c>
      <c r="G156" s="264">
        <v>2.44</v>
      </c>
      <c r="H156" s="264">
        <v>2.597</v>
      </c>
      <c r="I156" s="264">
        <v>2.658</v>
      </c>
      <c r="J156" s="264">
        <v>3.361</v>
      </c>
      <c r="K156" s="334">
        <f>AVERAGE(F156:J156)</f>
        <v>2.734</v>
      </c>
      <c r="L156" s="334">
        <f t="shared" ref="L156:U156" si="149">+K156</f>
        <v>2.734</v>
      </c>
      <c r="M156" s="334">
        <f t="shared" si="149"/>
        <v>2.734</v>
      </c>
      <c r="N156" s="334">
        <f t="shared" si="149"/>
        <v>2.734</v>
      </c>
      <c r="O156" s="334">
        <f t="shared" si="149"/>
        <v>2.734</v>
      </c>
      <c r="P156" s="334">
        <f t="shared" si="149"/>
        <v>2.734</v>
      </c>
      <c r="Q156" s="334">
        <f t="shared" si="149"/>
        <v>2.734</v>
      </c>
      <c r="R156" s="334">
        <f t="shared" si="149"/>
        <v>2.734</v>
      </c>
      <c r="S156" s="334">
        <f t="shared" si="149"/>
        <v>2.734</v>
      </c>
      <c r="T156" s="334">
        <f t="shared" si="149"/>
        <v>2.734</v>
      </c>
      <c r="U156" s="338">
        <f t="shared" si="149"/>
        <v>2.734</v>
      </c>
      <c r="W156" s="302">
        <f t="shared" ref="W156:Z156" si="150">SUMIF($F$25:$U$25,W$25,$F156:$U156)</f>
        <v>10.309</v>
      </c>
      <c r="X156" s="302">
        <f t="shared" si="150"/>
        <v>11.563</v>
      </c>
      <c r="Y156" s="302">
        <f t="shared" si="150"/>
        <v>10.936</v>
      </c>
      <c r="Z156" s="302">
        <f t="shared" si="150"/>
        <v>10.936</v>
      </c>
    </row>
    <row r="157" outlineLevel="1" spans="3:26">
      <c r="C157" s="51" t="s">
        <v>290</v>
      </c>
      <c r="D157" s="200" t="s">
        <v>48</v>
      </c>
      <c r="F157" s="264">
        <v>-11.962</v>
      </c>
      <c r="G157" s="264">
        <v>6.256</v>
      </c>
      <c r="H157" s="264">
        <v>1.137</v>
      </c>
      <c r="I157" s="264">
        <v>17.099</v>
      </c>
      <c r="J157" s="264">
        <v>-22.678</v>
      </c>
      <c r="K157" s="335">
        <f t="shared" ref="K157:U157" si="151">+J113-K113+J117-K117+K123-J123+K124-J124</f>
        <v>-13.3146080014774</v>
      </c>
      <c r="L157" s="335">
        <f t="shared" si="151"/>
        <v>-10.5162651686377</v>
      </c>
      <c r="M157" s="335">
        <f t="shared" si="151"/>
        <v>26.8884983922026</v>
      </c>
      <c r="N157" s="335">
        <f t="shared" si="151"/>
        <v>10.3879978341853</v>
      </c>
      <c r="O157" s="335">
        <f t="shared" si="151"/>
        <v>-1.60375804135606</v>
      </c>
      <c r="P157" s="335">
        <f t="shared" si="151"/>
        <v>-13.5948323211435</v>
      </c>
      <c r="Q157" s="335">
        <f t="shared" si="151"/>
        <v>32.4747165184116</v>
      </c>
      <c r="R157" s="335">
        <f t="shared" si="151"/>
        <v>11.1432896182754</v>
      </c>
      <c r="S157" s="335">
        <f t="shared" si="151"/>
        <v>-1.07678124443331</v>
      </c>
      <c r="T157" s="335">
        <f t="shared" si="151"/>
        <v>-16.8754463142098</v>
      </c>
      <c r="U157" s="335">
        <f t="shared" si="151"/>
        <v>38.5596324087607</v>
      </c>
      <c r="W157" s="302">
        <f t="shared" ref="W157:Z157" si="152">SUMIF($F$25:$U$25,W$25,$F157:$U157)</f>
        <v>12.53</v>
      </c>
      <c r="X157" s="302">
        <f t="shared" si="152"/>
        <v>-19.6203747779125</v>
      </c>
      <c r="Y157" s="302">
        <f t="shared" si="152"/>
        <v>27.6641239900974</v>
      </c>
      <c r="Z157" s="302">
        <f t="shared" si="152"/>
        <v>31.750694468393</v>
      </c>
    </row>
    <row r="158" outlineLevel="1" spans="3:26">
      <c r="C158" s="189" t="s">
        <v>274</v>
      </c>
      <c r="D158" s="181" t="s">
        <v>48</v>
      </c>
      <c r="E158" s="212"/>
      <c r="F158" s="276">
        <f t="shared" ref="F158:U158" si="153">SUM(F148:F157)</f>
        <v>44.528</v>
      </c>
      <c r="G158" s="276">
        <f t="shared" si="153"/>
        <v>57.311</v>
      </c>
      <c r="H158" s="276">
        <f t="shared" si="153"/>
        <v>66.127</v>
      </c>
      <c r="I158" s="276">
        <f t="shared" si="153"/>
        <v>88.762</v>
      </c>
      <c r="J158" s="276">
        <f t="shared" si="153"/>
        <v>51.279</v>
      </c>
      <c r="K158" s="209">
        <f t="shared" si="153"/>
        <v>53.7355554473327</v>
      </c>
      <c r="L158" s="209">
        <f t="shared" si="153"/>
        <v>66.6144020573254</v>
      </c>
      <c r="M158" s="209">
        <f t="shared" si="153"/>
        <v>108.9114266732</v>
      </c>
      <c r="N158" s="209">
        <f t="shared" si="153"/>
        <v>96.1303972581276</v>
      </c>
      <c r="O158" s="209">
        <f t="shared" si="153"/>
        <v>83.4713657231883</v>
      </c>
      <c r="P158" s="209">
        <f t="shared" si="153"/>
        <v>74.8016135162165</v>
      </c>
      <c r="Q158" s="209">
        <f t="shared" si="153"/>
        <v>131.414741542458</v>
      </c>
      <c r="R158" s="209">
        <f t="shared" si="153"/>
        <v>110.660024489248</v>
      </c>
      <c r="S158" s="209">
        <f t="shared" si="153"/>
        <v>100.208983788914</v>
      </c>
      <c r="T158" s="209">
        <f t="shared" si="153"/>
        <v>93.1794673260313</v>
      </c>
      <c r="U158" s="209">
        <f t="shared" si="153"/>
        <v>151.464999516957</v>
      </c>
      <c r="W158" s="325">
        <f t="shared" ref="W158:Z158" si="154">SUM(W148:W157)</f>
        <v>255.496</v>
      </c>
      <c r="X158" s="325">
        <f t="shared" si="154"/>
        <v>280.540384177858</v>
      </c>
      <c r="Y158" s="325">
        <f t="shared" si="154"/>
        <v>385.818118039991</v>
      </c>
      <c r="Z158" s="325">
        <f t="shared" si="154"/>
        <v>455.51347512115</v>
      </c>
    </row>
    <row r="159" outlineLevel="1" spans="6:10">
      <c r="F159" s="330"/>
      <c r="G159" s="328"/>
      <c r="H159" s="328"/>
      <c r="I159" s="273"/>
      <c r="J159" s="273"/>
    </row>
    <row r="160" outlineLevel="1" spans="3:21">
      <c r="C160" s="193" t="s">
        <v>291</v>
      </c>
      <c r="F160" s="197"/>
      <c r="G160" s="197"/>
      <c r="H160" s="197"/>
      <c r="I160" s="197"/>
      <c r="J160" s="197"/>
      <c r="K160" s="197"/>
      <c r="L160" s="197"/>
      <c r="M160" s="197"/>
      <c r="N160" s="197"/>
      <c r="O160" s="197"/>
      <c r="P160" s="197"/>
      <c r="Q160" s="197"/>
      <c r="R160" s="197"/>
      <c r="S160" s="197"/>
      <c r="T160" s="197"/>
      <c r="U160" s="197"/>
    </row>
    <row r="161" outlineLevel="1" spans="3:26">
      <c r="C161" s="51" t="s">
        <v>292</v>
      </c>
      <c r="D161" s="181" t="s">
        <v>48</v>
      </c>
      <c r="F161" s="263">
        <v>-2.099</v>
      </c>
      <c r="G161" s="263">
        <v>-0.999</v>
      </c>
      <c r="H161" s="263">
        <v>-0.874</v>
      </c>
      <c r="I161" s="263">
        <v>-0.871</v>
      </c>
      <c r="J161" s="263">
        <v>-0.186</v>
      </c>
      <c r="K161" s="336">
        <f t="shared" ref="K161:U161" si="155">-K185*K36</f>
        <v>-1.0998751392</v>
      </c>
      <c r="L161" s="336">
        <f t="shared" si="155"/>
        <v>-1.02915589</v>
      </c>
      <c r="M161" s="336">
        <f t="shared" si="155"/>
        <v>-0.98206551</v>
      </c>
      <c r="N161" s="336">
        <f t="shared" si="155"/>
        <v>-2.48795775</v>
      </c>
      <c r="O161" s="336">
        <f t="shared" si="155"/>
        <v>-1.3211833051136</v>
      </c>
      <c r="P161" s="336">
        <f t="shared" si="155"/>
        <v>-1.224468092365</v>
      </c>
      <c r="Q161" s="336">
        <f t="shared" si="155"/>
        <v>-1.16476632105</v>
      </c>
      <c r="R161" s="336">
        <f t="shared" si="155"/>
        <v>-2.9422324686</v>
      </c>
      <c r="S161" s="336">
        <f t="shared" si="155"/>
        <v>-1.5752836706174</v>
      </c>
      <c r="T161" s="336">
        <f t="shared" si="155"/>
        <v>-1.45130751240338</v>
      </c>
      <c r="U161" s="336">
        <f t="shared" si="155"/>
        <v>-1.37365218033495</v>
      </c>
      <c r="W161" s="301">
        <f t="shared" ref="W161:Z161" si="156">SUMIF($F$25:$U$25,W$25,$F161:$U161)</f>
        <v>-4.843</v>
      </c>
      <c r="X161" s="301">
        <f t="shared" si="156"/>
        <v>-3.2970965392</v>
      </c>
      <c r="Y161" s="301">
        <f t="shared" si="156"/>
        <v>-6.1983754685286</v>
      </c>
      <c r="Z161" s="301">
        <f t="shared" si="156"/>
        <v>-7.34247583195573</v>
      </c>
    </row>
    <row r="162" outlineLevel="1" spans="3:26">
      <c r="C162" s="51" t="s">
        <v>293</v>
      </c>
      <c r="D162" s="181" t="s">
        <v>48</v>
      </c>
      <c r="F162" s="264">
        <v>-1.611</v>
      </c>
      <c r="G162" s="264">
        <v>-1.839</v>
      </c>
      <c r="H162" s="264">
        <v>-0.184</v>
      </c>
      <c r="I162" s="264">
        <v>-0.243</v>
      </c>
      <c r="J162" s="264">
        <v>-0.276</v>
      </c>
      <c r="K162" s="302">
        <f t="shared" ref="K162:U162" si="157">-K186*K36</f>
        <v>-0.687421962</v>
      </c>
      <c r="L162" s="302">
        <f t="shared" si="157"/>
        <v>-0.58808908</v>
      </c>
      <c r="M162" s="302">
        <f t="shared" si="157"/>
        <v>-0.65471034</v>
      </c>
      <c r="N162" s="302">
        <f t="shared" si="157"/>
        <v>-2.15623005</v>
      </c>
      <c r="O162" s="302">
        <f t="shared" si="157"/>
        <v>-0.825739565696</v>
      </c>
      <c r="P162" s="302">
        <f t="shared" si="157"/>
        <v>-0.69969605278</v>
      </c>
      <c r="Q162" s="302">
        <f t="shared" si="157"/>
        <v>-0.7765108807</v>
      </c>
      <c r="R162" s="302">
        <f t="shared" si="157"/>
        <v>-2.54993480612</v>
      </c>
      <c r="S162" s="302">
        <f t="shared" si="157"/>
        <v>-0.984552294135872</v>
      </c>
      <c r="T162" s="302">
        <f t="shared" si="157"/>
        <v>-0.82931857851622</v>
      </c>
      <c r="U162" s="302">
        <f t="shared" si="157"/>
        <v>-0.9157681202233</v>
      </c>
      <c r="W162" s="302">
        <f t="shared" ref="W162:Z162" si="158">SUMIF($F$25:$U$25,W$25,$F162:$U162)</f>
        <v>-3.877</v>
      </c>
      <c r="X162" s="302">
        <f t="shared" si="158"/>
        <v>-2.206221382</v>
      </c>
      <c r="Y162" s="302">
        <f t="shared" si="158"/>
        <v>-4.458176549176</v>
      </c>
      <c r="Z162" s="302">
        <f t="shared" si="158"/>
        <v>-5.27957379899539</v>
      </c>
    </row>
    <row r="163" outlineLevel="1" spans="3:26">
      <c r="C163" s="51" t="s">
        <v>294</v>
      </c>
      <c r="D163" s="181" t="s">
        <v>48</v>
      </c>
      <c r="F163" s="264">
        <v>-70.859</v>
      </c>
      <c r="G163" s="264">
        <v>-47.726</v>
      </c>
      <c r="H163" s="264">
        <v>-130.853</v>
      </c>
      <c r="I163" s="264">
        <v>-114.722</v>
      </c>
      <c r="J163" s="264">
        <v>-136.947</v>
      </c>
      <c r="K163" s="302">
        <f t="shared" ref="K163:U163" si="159">-K81</f>
        <v>-85</v>
      </c>
      <c r="L163" s="302">
        <f t="shared" si="159"/>
        <v>-85</v>
      </c>
      <c r="M163" s="302">
        <f t="shared" si="159"/>
        <v>-90</v>
      </c>
      <c r="N163" s="302">
        <f t="shared" si="159"/>
        <v>-90</v>
      </c>
      <c r="O163" s="302">
        <f t="shared" si="159"/>
        <v>-90</v>
      </c>
      <c r="P163" s="302">
        <f t="shared" si="159"/>
        <v>-90</v>
      </c>
      <c r="Q163" s="302">
        <f t="shared" si="159"/>
        <v>-95</v>
      </c>
      <c r="R163" s="302">
        <f t="shared" si="159"/>
        <v>-95</v>
      </c>
      <c r="S163" s="302">
        <f t="shared" si="159"/>
        <v>-100</v>
      </c>
      <c r="T163" s="302">
        <f t="shared" si="159"/>
        <v>-100</v>
      </c>
      <c r="U163" s="302">
        <f t="shared" si="159"/>
        <v>-105</v>
      </c>
      <c r="W163" s="302">
        <f t="shared" ref="W163:Z163" si="160">SUMIF($F$25:$U$25,W$25,$F163:$U163)</f>
        <v>-364.16</v>
      </c>
      <c r="X163" s="302">
        <f t="shared" si="160"/>
        <v>-396.947</v>
      </c>
      <c r="Y163" s="302">
        <f t="shared" si="160"/>
        <v>-365</v>
      </c>
      <c r="Z163" s="302">
        <f t="shared" si="160"/>
        <v>-400</v>
      </c>
    </row>
    <row r="164" outlineLevel="1" spans="3:26">
      <c r="C164" s="51" t="s">
        <v>295</v>
      </c>
      <c r="D164" s="181" t="s">
        <v>48</v>
      </c>
      <c r="F164" s="264">
        <v>0</v>
      </c>
      <c r="G164" s="264">
        <v>123.545</v>
      </c>
      <c r="H164" s="264">
        <v>0</v>
      </c>
      <c r="I164" s="264">
        <v>0</v>
      </c>
      <c r="J164" s="264">
        <v>0</v>
      </c>
      <c r="K164" s="337">
        <v>0</v>
      </c>
      <c r="L164" s="334">
        <f t="shared" ref="L164:U164" si="161">+K164</f>
        <v>0</v>
      </c>
      <c r="M164" s="334">
        <f t="shared" si="161"/>
        <v>0</v>
      </c>
      <c r="N164" s="334">
        <f t="shared" si="161"/>
        <v>0</v>
      </c>
      <c r="O164" s="338">
        <f t="shared" si="161"/>
        <v>0</v>
      </c>
      <c r="P164" s="338">
        <f t="shared" si="161"/>
        <v>0</v>
      </c>
      <c r="Q164" s="338">
        <f t="shared" si="161"/>
        <v>0</v>
      </c>
      <c r="R164" s="338">
        <f t="shared" si="161"/>
        <v>0</v>
      </c>
      <c r="S164" s="338">
        <f t="shared" si="161"/>
        <v>0</v>
      </c>
      <c r="T164" s="338">
        <f t="shared" si="161"/>
        <v>0</v>
      </c>
      <c r="U164" s="338">
        <f t="shared" si="161"/>
        <v>0</v>
      </c>
      <c r="W164" s="302">
        <f t="shared" ref="W164:Z164" si="162">SUMIF($F$25:$U$25,W$25,$F164:$U164)</f>
        <v>123.545</v>
      </c>
      <c r="X164" s="302">
        <f t="shared" si="162"/>
        <v>0</v>
      </c>
      <c r="Y164" s="302">
        <f t="shared" si="162"/>
        <v>0</v>
      </c>
      <c r="Z164" s="302">
        <f t="shared" si="162"/>
        <v>0</v>
      </c>
    </row>
    <row r="165" outlineLevel="1" spans="3:26">
      <c r="C165" s="51" t="s">
        <v>289</v>
      </c>
      <c r="D165" s="200" t="s">
        <v>48</v>
      </c>
      <c r="F165" s="264">
        <v>-3.306</v>
      </c>
      <c r="G165" s="264">
        <v>-3.238</v>
      </c>
      <c r="H165" s="264">
        <v>-2.233</v>
      </c>
      <c r="I165" s="264">
        <v>-2.873</v>
      </c>
      <c r="J165" s="264">
        <v>-4.119</v>
      </c>
      <c r="K165" s="334">
        <f>AVERAGE(F165:J165)</f>
        <v>-3.1538</v>
      </c>
      <c r="L165" s="334">
        <f t="shared" ref="L165:U165" si="163">+K165</f>
        <v>-3.1538</v>
      </c>
      <c r="M165" s="334">
        <f t="shared" si="163"/>
        <v>-3.1538</v>
      </c>
      <c r="N165" s="334">
        <f t="shared" si="163"/>
        <v>-3.1538</v>
      </c>
      <c r="O165" s="334">
        <f t="shared" si="163"/>
        <v>-3.1538</v>
      </c>
      <c r="P165" s="339">
        <f t="shared" si="163"/>
        <v>-3.1538</v>
      </c>
      <c r="Q165" s="339">
        <f t="shared" si="163"/>
        <v>-3.1538</v>
      </c>
      <c r="R165" s="339">
        <f t="shared" si="163"/>
        <v>-3.1538</v>
      </c>
      <c r="S165" s="339">
        <f t="shared" si="163"/>
        <v>-3.1538</v>
      </c>
      <c r="T165" s="339">
        <f t="shared" si="163"/>
        <v>-3.1538</v>
      </c>
      <c r="U165" s="341">
        <f t="shared" si="163"/>
        <v>-3.1538</v>
      </c>
      <c r="W165" s="302">
        <f t="shared" ref="W165:Z165" si="164">SUMIF($F$25:$U$25,W$25,$F165:$U165)</f>
        <v>-11.65</v>
      </c>
      <c r="X165" s="302">
        <f t="shared" si="164"/>
        <v>-13.5804</v>
      </c>
      <c r="Y165" s="302">
        <f t="shared" si="164"/>
        <v>-12.6152</v>
      </c>
      <c r="Z165" s="302">
        <f t="shared" si="164"/>
        <v>-12.6152</v>
      </c>
    </row>
    <row r="166" outlineLevel="1" spans="3:26">
      <c r="C166" s="189" t="s">
        <v>291</v>
      </c>
      <c r="D166" s="181" t="s">
        <v>48</v>
      </c>
      <c r="E166" s="212"/>
      <c r="F166" s="276">
        <f t="shared" ref="F166:U166" si="165">SUM(F161:F165)</f>
        <v>-77.875</v>
      </c>
      <c r="G166" s="276">
        <f t="shared" si="165"/>
        <v>69.743</v>
      </c>
      <c r="H166" s="276">
        <f t="shared" si="165"/>
        <v>-134.144</v>
      </c>
      <c r="I166" s="276">
        <f t="shared" si="165"/>
        <v>-118.709</v>
      </c>
      <c r="J166" s="276">
        <f t="shared" si="165"/>
        <v>-141.528</v>
      </c>
      <c r="K166" s="332">
        <f t="shared" si="165"/>
        <v>-89.9410971012</v>
      </c>
      <c r="L166" s="332">
        <f t="shared" si="165"/>
        <v>-89.77104497</v>
      </c>
      <c r="M166" s="332">
        <f t="shared" si="165"/>
        <v>-94.79057585</v>
      </c>
      <c r="N166" s="332">
        <f t="shared" si="165"/>
        <v>-97.7979878</v>
      </c>
      <c r="O166" s="332">
        <f t="shared" si="165"/>
        <v>-95.3007228708096</v>
      </c>
      <c r="P166" s="332">
        <f t="shared" si="165"/>
        <v>-95.077964145145</v>
      </c>
      <c r="Q166" s="332">
        <f t="shared" si="165"/>
        <v>-100.09507720175</v>
      </c>
      <c r="R166" s="332">
        <f t="shared" si="165"/>
        <v>-103.64596727472</v>
      </c>
      <c r="S166" s="332">
        <f t="shared" si="165"/>
        <v>-105.713635964753</v>
      </c>
      <c r="T166" s="332">
        <f t="shared" si="165"/>
        <v>-105.43442609092</v>
      </c>
      <c r="U166" s="332">
        <f t="shared" si="165"/>
        <v>-110.443220300558</v>
      </c>
      <c r="W166" s="325">
        <f t="shared" ref="W166:Z166" si="166">SUM(W161:W165)</f>
        <v>-260.985</v>
      </c>
      <c r="X166" s="325">
        <f t="shared" si="166"/>
        <v>-416.0307179212</v>
      </c>
      <c r="Y166" s="325">
        <f t="shared" si="166"/>
        <v>-388.271752017705</v>
      </c>
      <c r="Z166" s="325">
        <f t="shared" si="166"/>
        <v>-425.237249630951</v>
      </c>
    </row>
    <row r="167" outlineLevel="1" spans="7:26">
      <c r="G167" s="328"/>
      <c r="H167" s="328"/>
      <c r="I167" s="340"/>
      <c r="W167" s="322"/>
      <c r="X167" s="322"/>
      <c r="Y167" s="322"/>
      <c r="Z167" s="322"/>
    </row>
    <row r="168" outlineLevel="1" spans="3:26">
      <c r="C168" s="193" t="s">
        <v>296</v>
      </c>
      <c r="G168" s="330"/>
      <c r="H168" s="328"/>
      <c r="I168" s="273"/>
      <c r="W168" s="322"/>
      <c r="X168" s="301"/>
      <c r="Y168" s="322"/>
      <c r="Z168" s="322"/>
    </row>
    <row r="169" outlineLevel="1" spans="3:26">
      <c r="C169" s="51" t="s">
        <v>297</v>
      </c>
      <c r="D169" s="181" t="s">
        <v>48</v>
      </c>
      <c r="F169" s="263">
        <v>0</v>
      </c>
      <c r="G169" s="263">
        <v>-1.25</v>
      </c>
      <c r="H169" s="263">
        <v>-1.25</v>
      </c>
      <c r="I169" s="263">
        <v>49.649</v>
      </c>
      <c r="J169" s="263">
        <v>145.249</v>
      </c>
      <c r="K169" s="336">
        <f t="shared" ref="K169:U169" si="167">+K212</f>
        <v>53.3129873613052</v>
      </c>
      <c r="L169" s="336">
        <f t="shared" si="167"/>
        <v>62.3244948152209</v>
      </c>
      <c r="M169" s="336">
        <f t="shared" si="167"/>
        <v>35.6481240400143</v>
      </c>
      <c r="N169" s="336">
        <f t="shared" si="167"/>
        <v>47.8659640097329</v>
      </c>
      <c r="O169" s="336">
        <f t="shared" si="167"/>
        <v>62.5466000088136</v>
      </c>
      <c r="P169" s="336">
        <f t="shared" si="167"/>
        <v>65.1665467011001</v>
      </c>
      <c r="Q169" s="336">
        <f t="shared" si="167"/>
        <v>29.1380982987202</v>
      </c>
      <c r="R169" s="336">
        <f t="shared" si="167"/>
        <v>46.8855273584268</v>
      </c>
      <c r="S169" s="336">
        <f t="shared" si="167"/>
        <v>66.2204239660326</v>
      </c>
      <c r="T169" s="336">
        <f t="shared" si="167"/>
        <v>68.5594996242839</v>
      </c>
      <c r="U169" s="336">
        <f t="shared" si="167"/>
        <v>27.8216189862002</v>
      </c>
      <c r="W169" s="301">
        <f t="shared" ref="W169:Z169" si="168">SUMIF($F$25:$U$25,W$25,$F169:$U169)</f>
        <v>47.149</v>
      </c>
      <c r="X169" s="301">
        <f t="shared" si="168"/>
        <v>296.53460621654</v>
      </c>
      <c r="Y169" s="301">
        <f t="shared" si="168"/>
        <v>204.717209018367</v>
      </c>
      <c r="Z169" s="301">
        <f t="shared" si="168"/>
        <v>209.487069934943</v>
      </c>
    </row>
    <row r="170" outlineLevel="1" spans="3:26">
      <c r="C170" s="51" t="s">
        <v>298</v>
      </c>
      <c r="D170" s="181" t="s">
        <v>48</v>
      </c>
      <c r="F170" s="264">
        <v>0</v>
      </c>
      <c r="G170" s="264">
        <v>-56.748</v>
      </c>
      <c r="H170" s="264">
        <v>-100.25</v>
      </c>
      <c r="I170" s="264">
        <v>0</v>
      </c>
      <c r="J170" s="264">
        <v>0</v>
      </c>
      <c r="K170" s="337">
        <v>0</v>
      </c>
      <c r="L170" s="334">
        <f t="shared" ref="L170:U170" si="169">+K170</f>
        <v>0</v>
      </c>
      <c r="M170" s="334">
        <f t="shared" si="169"/>
        <v>0</v>
      </c>
      <c r="N170" s="334">
        <f t="shared" si="169"/>
        <v>0</v>
      </c>
      <c r="O170" s="338">
        <f t="shared" si="169"/>
        <v>0</v>
      </c>
      <c r="P170" s="338">
        <f t="shared" si="169"/>
        <v>0</v>
      </c>
      <c r="Q170" s="338">
        <f t="shared" si="169"/>
        <v>0</v>
      </c>
      <c r="R170" s="338">
        <f t="shared" si="169"/>
        <v>0</v>
      </c>
      <c r="S170" s="338">
        <f t="shared" si="169"/>
        <v>0</v>
      </c>
      <c r="T170" s="338">
        <f t="shared" si="169"/>
        <v>0</v>
      </c>
      <c r="U170" s="338">
        <f t="shared" si="169"/>
        <v>0</v>
      </c>
      <c r="W170" s="302">
        <f t="shared" ref="W170:Z170" si="170">SUMIF($F$25:$U$25,W$25,$F170:$U170)</f>
        <v>-156.998</v>
      </c>
      <c r="X170" s="302">
        <f t="shared" si="170"/>
        <v>0</v>
      </c>
      <c r="Y170" s="302">
        <f t="shared" si="170"/>
        <v>0</v>
      </c>
      <c r="Z170" s="302">
        <f t="shared" si="170"/>
        <v>0</v>
      </c>
    </row>
    <row r="171" outlineLevel="1" spans="3:26">
      <c r="C171" s="51" t="s">
        <v>299</v>
      </c>
      <c r="D171" s="181" t="s">
        <v>48</v>
      </c>
      <c r="F171" s="264">
        <v>275.797</v>
      </c>
      <c r="G171" s="264">
        <v>-0.0769999999999982</v>
      </c>
      <c r="H171" s="264">
        <v>-0.25</v>
      </c>
      <c r="I171" s="264">
        <v>0</v>
      </c>
      <c r="J171" s="264">
        <v>0</v>
      </c>
      <c r="K171" s="289">
        <f t="shared" ref="K171:U171" si="171">+K213</f>
        <v>5.92366526236725</v>
      </c>
      <c r="L171" s="289">
        <f t="shared" si="171"/>
        <v>6.92494386835787</v>
      </c>
      <c r="M171" s="289">
        <f t="shared" si="171"/>
        <v>3.9609026711127</v>
      </c>
      <c r="N171" s="289">
        <f t="shared" si="171"/>
        <v>5.31844044552587</v>
      </c>
      <c r="O171" s="289">
        <f t="shared" si="171"/>
        <v>6.94962222320151</v>
      </c>
      <c r="P171" s="289">
        <f t="shared" si="171"/>
        <v>7.24072741123334</v>
      </c>
      <c r="Q171" s="289">
        <f t="shared" si="171"/>
        <v>3.23756647763558</v>
      </c>
      <c r="R171" s="289">
        <f t="shared" si="171"/>
        <v>5.2095030398252</v>
      </c>
      <c r="S171" s="289">
        <f t="shared" si="171"/>
        <v>7.35782488511473</v>
      </c>
      <c r="T171" s="289">
        <f t="shared" si="171"/>
        <v>7.61772218047598</v>
      </c>
      <c r="U171" s="289">
        <f t="shared" si="171"/>
        <v>3.09129099846669</v>
      </c>
      <c r="W171" s="302">
        <f t="shared" ref="W171:Z171" si="172">SUMIF($F$25:$U$25,W$25,$F171:$U171)</f>
        <v>275.47</v>
      </c>
      <c r="X171" s="302">
        <f t="shared" si="172"/>
        <v>16.8095118018378</v>
      </c>
      <c r="Y171" s="302">
        <f t="shared" si="172"/>
        <v>22.7463565575963</v>
      </c>
      <c r="Z171" s="302">
        <f t="shared" si="172"/>
        <v>23.2763411038826</v>
      </c>
    </row>
    <row r="172" outlineLevel="1" spans="3:26">
      <c r="C172" s="51" t="s">
        <v>300</v>
      </c>
      <c r="D172" s="181" t="s">
        <v>48</v>
      </c>
      <c r="F172" s="264">
        <v>-31.07</v>
      </c>
      <c r="G172" s="264">
        <v>-34.978</v>
      </c>
      <c r="H172" s="264">
        <v>-35.507</v>
      </c>
      <c r="I172" s="264">
        <v>-35.521</v>
      </c>
      <c r="J172" s="264">
        <v>-37.9</v>
      </c>
      <c r="K172" s="274">
        <f t="shared" ref="K172:U172" si="173">-K206</f>
        <v>-40.6437631259466</v>
      </c>
      <c r="L172" s="274">
        <f t="shared" si="173"/>
        <v>-40.0286822407797</v>
      </c>
      <c r="M172" s="274">
        <f t="shared" si="173"/>
        <v>-44.2617268856685</v>
      </c>
      <c r="N172" s="274">
        <f t="shared" si="173"/>
        <v>-46.234884858126</v>
      </c>
      <c r="O172" s="274">
        <f t="shared" si="173"/>
        <v>-52.1262305809276</v>
      </c>
      <c r="P172" s="274">
        <f t="shared" si="173"/>
        <v>-46.0560549307183</v>
      </c>
      <c r="Q172" s="274">
        <f t="shared" si="173"/>
        <v>-53.730906258709</v>
      </c>
      <c r="R172" s="274">
        <f t="shared" si="173"/>
        <v>-53.8614348817888</v>
      </c>
      <c r="S172" s="274">
        <f t="shared" si="173"/>
        <v>-62.3947538945863</v>
      </c>
      <c r="T172" s="274">
        <f t="shared" si="173"/>
        <v>-57.7721581521268</v>
      </c>
      <c r="U172" s="274">
        <f t="shared" si="173"/>
        <v>-61.4927096803536</v>
      </c>
      <c r="W172" s="302">
        <f t="shared" ref="W172:Z172" si="174">SUMIF($F$25:$U$25,W$25,$F172:$U172)</f>
        <v>-137.076</v>
      </c>
      <c r="X172" s="302">
        <f t="shared" si="174"/>
        <v>-162.834172252395</v>
      </c>
      <c r="Y172" s="302">
        <f t="shared" si="174"/>
        <v>-198.148076628481</v>
      </c>
      <c r="Z172" s="302">
        <f t="shared" si="174"/>
        <v>-235.521056608856</v>
      </c>
    </row>
    <row r="173" outlineLevel="1" spans="3:26">
      <c r="C173" s="51" t="s">
        <v>301</v>
      </c>
      <c r="D173" s="200" t="s">
        <v>48</v>
      </c>
      <c r="F173" s="264">
        <v>-0.0770000000000208</v>
      </c>
      <c r="G173" s="264">
        <v>0.502000000000049</v>
      </c>
      <c r="H173" s="264">
        <v>-9.94100000000009</v>
      </c>
      <c r="I173" s="264">
        <v>-7.37799999999998</v>
      </c>
      <c r="J173" s="264">
        <v>-10.8</v>
      </c>
      <c r="K173" s="334">
        <f>AVERAGE(F173:J173)</f>
        <v>-5.53880000000001</v>
      </c>
      <c r="L173" s="334">
        <f t="shared" ref="L173:U173" si="175">+K173</f>
        <v>-5.53880000000001</v>
      </c>
      <c r="M173" s="334">
        <f t="shared" si="175"/>
        <v>-5.53880000000001</v>
      </c>
      <c r="N173" s="334">
        <f t="shared" si="175"/>
        <v>-5.53880000000001</v>
      </c>
      <c r="O173" s="334">
        <f t="shared" si="175"/>
        <v>-5.53880000000001</v>
      </c>
      <c r="P173" s="339">
        <f t="shared" si="175"/>
        <v>-5.53880000000001</v>
      </c>
      <c r="Q173" s="339">
        <f t="shared" si="175"/>
        <v>-5.53880000000001</v>
      </c>
      <c r="R173" s="339">
        <f t="shared" si="175"/>
        <v>-5.53880000000001</v>
      </c>
      <c r="S173" s="339">
        <f t="shared" si="175"/>
        <v>-5.53880000000001</v>
      </c>
      <c r="T173" s="339">
        <f t="shared" si="175"/>
        <v>-5.53880000000001</v>
      </c>
      <c r="U173" s="339">
        <f t="shared" si="175"/>
        <v>-5.53880000000001</v>
      </c>
      <c r="W173" s="302">
        <f t="shared" ref="W173:Z173" si="176">SUMIF($F$25:$U$25,W$25,$F173:$U173)</f>
        <v>-16.894</v>
      </c>
      <c r="X173" s="302">
        <f t="shared" si="176"/>
        <v>-27.4164</v>
      </c>
      <c r="Y173" s="302">
        <f t="shared" si="176"/>
        <v>-22.1552</v>
      </c>
      <c r="Z173" s="302">
        <f t="shared" si="176"/>
        <v>-22.1552</v>
      </c>
    </row>
    <row r="174" outlineLevel="1" spans="3:26">
      <c r="C174" s="189" t="s">
        <v>296</v>
      </c>
      <c r="D174" s="181" t="s">
        <v>48</v>
      </c>
      <c r="E174" s="212"/>
      <c r="F174" s="276">
        <f t="shared" ref="F174:U174" si="177">SUM(F169:F173)</f>
        <v>244.65</v>
      </c>
      <c r="G174" s="276">
        <f t="shared" si="177"/>
        <v>-92.5509999999999</v>
      </c>
      <c r="H174" s="276">
        <f t="shared" si="177"/>
        <v>-147.198</v>
      </c>
      <c r="I174" s="276">
        <f t="shared" si="177"/>
        <v>6.75000000000002</v>
      </c>
      <c r="J174" s="276">
        <f t="shared" si="177"/>
        <v>96.549</v>
      </c>
      <c r="K174" s="332">
        <f t="shared" si="177"/>
        <v>13.0540894977259</v>
      </c>
      <c r="L174" s="332">
        <f t="shared" si="177"/>
        <v>23.681956442799</v>
      </c>
      <c r="M174" s="332">
        <f t="shared" si="177"/>
        <v>-10.1915001745415</v>
      </c>
      <c r="N174" s="332">
        <f t="shared" si="177"/>
        <v>1.41071959713276</v>
      </c>
      <c r="O174" s="332">
        <f t="shared" si="177"/>
        <v>11.8311916510875</v>
      </c>
      <c r="P174" s="332">
        <f t="shared" si="177"/>
        <v>20.8124191816152</v>
      </c>
      <c r="Q174" s="332">
        <f t="shared" si="177"/>
        <v>-26.8940414823532</v>
      </c>
      <c r="R174" s="332">
        <f t="shared" si="177"/>
        <v>-7.30520448353677</v>
      </c>
      <c r="S174" s="332">
        <f t="shared" si="177"/>
        <v>5.64469495656103</v>
      </c>
      <c r="T174" s="332">
        <f t="shared" si="177"/>
        <v>12.866263652633</v>
      </c>
      <c r="U174" s="332">
        <f t="shared" si="177"/>
        <v>-36.1185996956868</v>
      </c>
      <c r="W174" s="325">
        <f t="shared" ref="W174:Z174" si="178">SUM(W169:W173)</f>
        <v>11.651</v>
      </c>
      <c r="X174" s="325">
        <f t="shared" si="178"/>
        <v>123.093545765983</v>
      </c>
      <c r="Y174" s="325">
        <f t="shared" si="178"/>
        <v>7.16028894748226</v>
      </c>
      <c r="Z174" s="325">
        <f t="shared" si="178"/>
        <v>-24.9128455700295</v>
      </c>
    </row>
    <row r="175" outlineLevel="1" spans="7:26">
      <c r="G175" s="331"/>
      <c r="H175" s="331"/>
      <c r="I175" s="331"/>
      <c r="W175" s="322"/>
      <c r="X175" s="322"/>
      <c r="Y175" s="322"/>
      <c r="Z175" s="322"/>
    </row>
    <row r="176" outlineLevel="1" spans="3:26">
      <c r="C176" s="51" t="s">
        <v>302</v>
      </c>
      <c r="D176" s="181" t="s">
        <v>48</v>
      </c>
      <c r="F176" s="274">
        <f t="shared" ref="F176:U176" si="179">+F158+F166+F174</f>
        <v>211.303</v>
      </c>
      <c r="G176" s="274">
        <f t="shared" si="179"/>
        <v>34.503</v>
      </c>
      <c r="H176" s="274">
        <f t="shared" si="179"/>
        <v>-215.215</v>
      </c>
      <c r="I176" s="274">
        <f t="shared" si="179"/>
        <v>-23.197</v>
      </c>
      <c r="J176" s="331">
        <f t="shared" si="179"/>
        <v>6.30000000000001</v>
      </c>
      <c r="K176" s="274">
        <f t="shared" si="179"/>
        <v>-23.1514521561414</v>
      </c>
      <c r="L176" s="274">
        <f t="shared" si="179"/>
        <v>0.525313530124414</v>
      </c>
      <c r="M176" s="274">
        <f t="shared" si="179"/>
        <v>3.92935064865845</v>
      </c>
      <c r="N176" s="274">
        <f t="shared" si="179"/>
        <v>-0.256870944739602</v>
      </c>
      <c r="O176" s="274">
        <f t="shared" si="179"/>
        <v>0.0018345034662417</v>
      </c>
      <c r="P176" s="274">
        <f t="shared" si="179"/>
        <v>0.536068552686707</v>
      </c>
      <c r="Q176" s="274">
        <f t="shared" si="179"/>
        <v>4.42562285835488</v>
      </c>
      <c r="R176" s="274">
        <f t="shared" si="179"/>
        <v>-0.291147269009115</v>
      </c>
      <c r="S176" s="274">
        <f t="shared" si="179"/>
        <v>0.140042780721971</v>
      </c>
      <c r="T176" s="274">
        <f t="shared" si="179"/>
        <v>0.611304887744716</v>
      </c>
      <c r="U176" s="274">
        <f t="shared" si="179"/>
        <v>4.90317952071184</v>
      </c>
      <c r="W176" s="289">
        <f t="shared" ref="W176:Z176" si="180">SUMIF($F$25:$U$25,W$25,$F176:$U176)</f>
        <v>7.39399999999994</v>
      </c>
      <c r="X176" s="289">
        <f t="shared" si="180"/>
        <v>-12.3967879773585</v>
      </c>
      <c r="Y176" s="289">
        <f t="shared" si="180"/>
        <v>4.70665496976823</v>
      </c>
      <c r="Z176" s="289">
        <f t="shared" si="180"/>
        <v>5.36337992016941</v>
      </c>
    </row>
    <row r="177" outlineLevel="1" spans="3:26">
      <c r="C177" s="51" t="s">
        <v>303</v>
      </c>
      <c r="D177" s="181" t="s">
        <v>48</v>
      </c>
      <c r="F177" s="275">
        <v>31.23</v>
      </c>
      <c r="G177" s="274">
        <f t="shared" ref="G177:U177" si="181">+F178</f>
        <v>242.533</v>
      </c>
      <c r="H177" s="274">
        <f t="shared" si="181"/>
        <v>277.036</v>
      </c>
      <c r="I177" s="274">
        <f t="shared" si="181"/>
        <v>61.8209999999999</v>
      </c>
      <c r="J177" s="274">
        <f t="shared" si="181"/>
        <v>38.6239999999999</v>
      </c>
      <c r="K177" s="274">
        <f t="shared" si="181"/>
        <v>44.9239999999999</v>
      </c>
      <c r="L177" s="274">
        <f t="shared" si="181"/>
        <v>21.7725478438585</v>
      </c>
      <c r="M177" s="274">
        <f t="shared" si="181"/>
        <v>22.2978613739829</v>
      </c>
      <c r="N177" s="274">
        <f t="shared" si="181"/>
        <v>26.2272120226414</v>
      </c>
      <c r="O177" s="274">
        <f t="shared" si="181"/>
        <v>25.9703410779018</v>
      </c>
      <c r="P177" s="274">
        <f t="shared" si="181"/>
        <v>25.972175581368</v>
      </c>
      <c r="Q177" s="274">
        <f t="shared" si="181"/>
        <v>26.5082441340547</v>
      </c>
      <c r="R177" s="274">
        <f t="shared" si="181"/>
        <v>30.9338669924096</v>
      </c>
      <c r="S177" s="274">
        <f t="shared" si="181"/>
        <v>30.6427197234005</v>
      </c>
      <c r="T177" s="274">
        <f t="shared" si="181"/>
        <v>30.7827625041224</v>
      </c>
      <c r="U177" s="274">
        <f t="shared" si="181"/>
        <v>31.3940673918672</v>
      </c>
      <c r="W177" s="289">
        <f>+F177</f>
        <v>31.23</v>
      </c>
      <c r="X177" s="289">
        <f t="shared" ref="X177:Z177" si="182">+W178</f>
        <v>38.6239999999999</v>
      </c>
      <c r="Y177" s="289">
        <f t="shared" si="182"/>
        <v>26.2272120226414</v>
      </c>
      <c r="Z177" s="289">
        <f t="shared" si="182"/>
        <v>30.9338669924096</v>
      </c>
    </row>
    <row r="178" outlineLevel="1" spans="3:26">
      <c r="C178" s="189" t="s">
        <v>304</v>
      </c>
      <c r="D178" s="190" t="s">
        <v>48</v>
      </c>
      <c r="E178" s="212"/>
      <c r="F178" s="332">
        <f t="shared" ref="F178:U178" si="183">SUM(F176:F177)</f>
        <v>242.533</v>
      </c>
      <c r="G178" s="332">
        <f t="shared" si="183"/>
        <v>277.036</v>
      </c>
      <c r="H178" s="332">
        <f t="shared" si="183"/>
        <v>61.8209999999999</v>
      </c>
      <c r="I178" s="332">
        <f t="shared" si="183"/>
        <v>38.6239999999999</v>
      </c>
      <c r="J178" s="332">
        <f t="shared" si="183"/>
        <v>44.9239999999999</v>
      </c>
      <c r="K178" s="332">
        <f t="shared" si="183"/>
        <v>21.7725478438585</v>
      </c>
      <c r="L178" s="332">
        <f t="shared" si="183"/>
        <v>22.2978613739829</v>
      </c>
      <c r="M178" s="332">
        <f t="shared" si="183"/>
        <v>26.2272120226414</v>
      </c>
      <c r="N178" s="332">
        <f t="shared" si="183"/>
        <v>25.9703410779018</v>
      </c>
      <c r="O178" s="332">
        <f t="shared" si="183"/>
        <v>25.972175581368</v>
      </c>
      <c r="P178" s="332">
        <f t="shared" si="183"/>
        <v>26.5082441340547</v>
      </c>
      <c r="Q178" s="332">
        <f t="shared" si="183"/>
        <v>30.9338669924096</v>
      </c>
      <c r="R178" s="332">
        <f t="shared" si="183"/>
        <v>30.6427197234005</v>
      </c>
      <c r="S178" s="332">
        <f t="shared" si="183"/>
        <v>30.7827625041224</v>
      </c>
      <c r="T178" s="332">
        <f t="shared" si="183"/>
        <v>31.3940673918672</v>
      </c>
      <c r="U178" s="332">
        <f t="shared" si="183"/>
        <v>36.297246912579</v>
      </c>
      <c r="W178" s="342">
        <f t="shared" ref="W178:Z178" si="184">SUM(W176:W177)</f>
        <v>38.6239999999999</v>
      </c>
      <c r="X178" s="342">
        <f t="shared" si="184"/>
        <v>26.2272120226414</v>
      </c>
      <c r="Y178" s="342">
        <f t="shared" si="184"/>
        <v>30.9338669924096</v>
      </c>
      <c r="Z178" s="342">
        <f t="shared" si="184"/>
        <v>36.297246912579</v>
      </c>
    </row>
    <row r="180" spans="2:26">
      <c r="B180" s="254"/>
      <c r="C180" s="254"/>
      <c r="D180" s="255"/>
      <c r="E180" s="256"/>
      <c r="F180" s="257" t="str">
        <f>$F$27</f>
        <v>Historical:</v>
      </c>
      <c r="G180" s="257"/>
      <c r="H180" s="257"/>
      <c r="I180" s="257"/>
      <c r="J180" s="296"/>
      <c r="K180" s="297" t="str">
        <f>$K$27</f>
        <v>Projected:</v>
      </c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W180" s="257" t="str">
        <f>$W$27</f>
        <v>Historical:</v>
      </c>
      <c r="X180" s="297" t="str">
        <f>$X$27</f>
        <v>Projected:</v>
      </c>
      <c r="Y180" s="257"/>
      <c r="Z180" s="257"/>
    </row>
    <row r="181" spans="2:26">
      <c r="B181" s="173" t="s">
        <v>305</v>
      </c>
      <c r="C181" s="173"/>
      <c r="D181" s="174" t="str">
        <f>+$D$5</f>
        <v>Units:</v>
      </c>
      <c r="E181" s="175"/>
      <c r="F181" s="258">
        <f>$F$28</f>
        <v>42460</v>
      </c>
      <c r="G181" s="259">
        <f>$G$28</f>
        <v>42551</v>
      </c>
      <c r="H181" s="260">
        <f>$H$28</f>
        <v>42643</v>
      </c>
      <c r="I181" s="298">
        <f>$I$28</f>
        <v>42735</v>
      </c>
      <c r="J181" s="258">
        <f>$J$28</f>
        <v>42825</v>
      </c>
      <c r="K181" s="299">
        <f>$K$28</f>
        <v>42916</v>
      </c>
      <c r="L181" s="260">
        <f>$L$28</f>
        <v>43008</v>
      </c>
      <c r="M181" s="298">
        <f>$M$28</f>
        <v>43100</v>
      </c>
      <c r="N181" s="258">
        <f>$N$28</f>
        <v>43190</v>
      </c>
      <c r="O181" s="259">
        <f>$O$28</f>
        <v>43281</v>
      </c>
      <c r="P181" s="260">
        <f>$P$28</f>
        <v>43373</v>
      </c>
      <c r="Q181" s="298">
        <f>$Q$28</f>
        <v>43465</v>
      </c>
      <c r="R181" s="258">
        <f>$R$28</f>
        <v>43555</v>
      </c>
      <c r="S181" s="259">
        <f>$S$28</f>
        <v>43646</v>
      </c>
      <c r="T181" s="260">
        <f>$T$28</f>
        <v>43738</v>
      </c>
      <c r="U181" s="298">
        <f>$U$28</f>
        <v>43830</v>
      </c>
      <c r="W181" s="313">
        <f>$W$28</f>
        <v>42735</v>
      </c>
      <c r="X181" s="314">
        <f>$X$28</f>
        <v>43100</v>
      </c>
      <c r="Y181" s="176">
        <f>$Y$28</f>
        <v>43465</v>
      </c>
      <c r="Z181" s="176">
        <f>$Z$28</f>
        <v>43830</v>
      </c>
    </row>
    <row r="182" outlineLevel="1"/>
    <row r="183" outlineLevel="1" spans="3:26">
      <c r="C183" s="11" t="s">
        <v>497</v>
      </c>
      <c r="D183" s="736" t="s">
        <v>56</v>
      </c>
      <c r="F183" s="231">
        <f t="shared" ref="F183:J183" si="185">+F153/F36</f>
        <v>-0.0139912524466568</v>
      </c>
      <c r="G183" s="231">
        <f t="shared" si="185"/>
        <v>0.0054147411660365</v>
      </c>
      <c r="H183" s="231">
        <f t="shared" si="185"/>
        <v>-0.000990128493366884</v>
      </c>
      <c r="I183" s="231">
        <f t="shared" si="185"/>
        <v>0.00762943933148891</v>
      </c>
      <c r="J183" s="231">
        <f t="shared" si="185"/>
        <v>0.0123168248688022</v>
      </c>
      <c r="K183" s="320">
        <f t="shared" ref="K183:U183" si="186">+F183</f>
        <v>-0.0139912524466568</v>
      </c>
      <c r="L183" s="320">
        <f t="shared" si="186"/>
        <v>0.0054147411660365</v>
      </c>
      <c r="M183" s="320">
        <f t="shared" si="186"/>
        <v>-0.000990128493366884</v>
      </c>
      <c r="N183" s="320">
        <f t="shared" si="186"/>
        <v>0.00762943933148891</v>
      </c>
      <c r="O183" s="320">
        <f t="shared" si="186"/>
        <v>0.0123168248688022</v>
      </c>
      <c r="P183" s="320">
        <f t="shared" si="186"/>
        <v>-0.0139912524466568</v>
      </c>
      <c r="Q183" s="320">
        <f t="shared" si="186"/>
        <v>0.0054147411660365</v>
      </c>
      <c r="R183" s="320">
        <f t="shared" si="186"/>
        <v>-0.000990128493366884</v>
      </c>
      <c r="S183" s="320">
        <f t="shared" si="186"/>
        <v>0.00762943933148891</v>
      </c>
      <c r="T183" s="320">
        <f t="shared" si="186"/>
        <v>0.0123168248688022</v>
      </c>
      <c r="U183" s="320">
        <f t="shared" si="186"/>
        <v>-0.0139912524466568</v>
      </c>
      <c r="W183" s="231">
        <f t="shared" ref="W183:Z183" si="187">+W153/W36</f>
        <v>-0.000175902825982928</v>
      </c>
      <c r="X183" s="231">
        <f t="shared" si="187"/>
        <v>0.000729062455579465</v>
      </c>
      <c r="Y183" s="231">
        <f t="shared" si="187"/>
        <v>0.00271874114882899</v>
      </c>
      <c r="Z183" s="231">
        <f t="shared" si="187"/>
        <v>0.000794087120151167</v>
      </c>
    </row>
    <row r="184" outlineLevel="1"/>
    <row r="185" outlineLevel="1" spans="3:26">
      <c r="C185" s="210" t="s">
        <v>498</v>
      </c>
      <c r="D185" s="736" t="s">
        <v>56</v>
      </c>
      <c r="F185" s="231">
        <f t="shared" ref="F185:J185" si="188">-F161/F$36</f>
        <v>0.0169071035610436</v>
      </c>
      <c r="G185" s="231">
        <f t="shared" si="188"/>
        <v>0.0077720207253886</v>
      </c>
      <c r="H185" s="231">
        <f t="shared" si="188"/>
        <v>0.00650655867069666</v>
      </c>
      <c r="I185" s="231">
        <f t="shared" si="188"/>
        <v>0.00614730958161595</v>
      </c>
      <c r="J185" s="231">
        <f t="shared" si="188"/>
        <v>0.00133348627799604</v>
      </c>
      <c r="K185" s="182">
        <v>0.008</v>
      </c>
      <c r="L185" s="182">
        <v>0.007</v>
      </c>
      <c r="M185" s="182">
        <v>0.006</v>
      </c>
      <c r="N185" s="182">
        <v>0.015</v>
      </c>
      <c r="O185" s="320">
        <f t="shared" ref="O185:U185" si="189">+K185</f>
        <v>0.008</v>
      </c>
      <c r="P185" s="320">
        <f t="shared" si="189"/>
        <v>0.007</v>
      </c>
      <c r="Q185" s="320">
        <f t="shared" si="189"/>
        <v>0.006</v>
      </c>
      <c r="R185" s="320">
        <f t="shared" si="189"/>
        <v>0.015</v>
      </c>
      <c r="S185" s="320">
        <f t="shared" si="189"/>
        <v>0.008</v>
      </c>
      <c r="T185" s="320">
        <f t="shared" si="189"/>
        <v>0.007</v>
      </c>
      <c r="U185" s="320">
        <f t="shared" si="189"/>
        <v>0.006</v>
      </c>
      <c r="W185" s="231">
        <f t="shared" ref="W185:Z185" si="190">-W161/W$36</f>
        <v>0.00916018694876688</v>
      </c>
      <c r="X185" s="231">
        <f t="shared" si="190"/>
        <v>0.00561047249666326</v>
      </c>
      <c r="Y185" s="231">
        <f t="shared" si="190"/>
        <v>0.00885401895604643</v>
      </c>
      <c r="Z185" s="231">
        <f t="shared" si="190"/>
        <v>0.0088534929286656</v>
      </c>
    </row>
    <row r="186" outlineLevel="1" spans="3:26">
      <c r="C186" s="210" t="s">
        <v>499</v>
      </c>
      <c r="D186" s="736" t="s">
        <v>56</v>
      </c>
      <c r="F186" s="231">
        <f t="shared" ref="F186:J186" si="191">-F162/F$36</f>
        <v>0.0129763429427543</v>
      </c>
      <c r="G186" s="231">
        <f t="shared" si="191"/>
        <v>0.0143070531671568</v>
      </c>
      <c r="H186" s="231">
        <f t="shared" si="191"/>
        <v>0.00136980182540982</v>
      </c>
      <c r="I186" s="231">
        <f t="shared" si="191"/>
        <v>0.00171503585342443</v>
      </c>
      <c r="J186" s="231">
        <f t="shared" si="191"/>
        <v>0.00197872157380058</v>
      </c>
      <c r="K186" s="182">
        <v>0.005</v>
      </c>
      <c r="L186" s="182">
        <v>0.004</v>
      </c>
      <c r="M186" s="182">
        <v>0.004</v>
      </c>
      <c r="N186" s="182">
        <v>0.013</v>
      </c>
      <c r="O186" s="320">
        <f t="shared" ref="O186:U186" si="192">+K186</f>
        <v>0.005</v>
      </c>
      <c r="P186" s="320">
        <f t="shared" si="192"/>
        <v>0.004</v>
      </c>
      <c r="Q186" s="320">
        <f t="shared" si="192"/>
        <v>0.004</v>
      </c>
      <c r="R186" s="320">
        <f t="shared" si="192"/>
        <v>0.013</v>
      </c>
      <c r="S186" s="320">
        <f t="shared" si="192"/>
        <v>0.005</v>
      </c>
      <c r="T186" s="320">
        <f t="shared" si="192"/>
        <v>0.004</v>
      </c>
      <c r="U186" s="320">
        <f t="shared" si="192"/>
        <v>0.004</v>
      </c>
      <c r="W186" s="231">
        <f t="shared" ref="W186:Z186" si="193">-W162/W$36</f>
        <v>0.00733306727242808</v>
      </c>
      <c r="X186" s="231">
        <f t="shared" si="193"/>
        <v>0.00375419531642369</v>
      </c>
      <c r="Y186" s="231">
        <f t="shared" si="193"/>
        <v>0.00636824598255197</v>
      </c>
      <c r="Z186" s="231">
        <f t="shared" si="193"/>
        <v>0.00636606375908541</v>
      </c>
    </row>
    <row r="187" outlineLevel="1"/>
    <row r="188" outlineLevel="1" spans="3:26">
      <c r="C188" s="11" t="s">
        <v>500</v>
      </c>
      <c r="D188" s="736" t="s">
        <v>56</v>
      </c>
      <c r="F188" s="231">
        <f t="shared" ref="F188:J188" si="194">+F192/F150</f>
        <v>0.992493131602368</v>
      </c>
      <c r="G188" s="231">
        <f t="shared" si="194"/>
        <v>0.992402081829579</v>
      </c>
      <c r="H188" s="231">
        <f t="shared" si="194"/>
        <v>0.991961590222966</v>
      </c>
      <c r="I188" s="231">
        <f t="shared" si="194"/>
        <v>0.99349263921485</v>
      </c>
      <c r="J188" s="231">
        <f t="shared" si="194"/>
        <v>0.992767752685504</v>
      </c>
      <c r="K188" s="320">
        <f t="shared" ref="K188:U188" si="195">+G188</f>
        <v>0.992402081829579</v>
      </c>
      <c r="L188" s="320">
        <f t="shared" si="195"/>
        <v>0.991961590222966</v>
      </c>
      <c r="M188" s="320">
        <f t="shared" si="195"/>
        <v>0.99349263921485</v>
      </c>
      <c r="N188" s="320">
        <f t="shared" si="195"/>
        <v>0.992767752685504</v>
      </c>
      <c r="O188" s="320">
        <f t="shared" si="195"/>
        <v>0.992402081829579</v>
      </c>
      <c r="P188" s="320">
        <f t="shared" si="195"/>
        <v>0.991961590222966</v>
      </c>
      <c r="Q188" s="320">
        <f t="shared" si="195"/>
        <v>0.99349263921485</v>
      </c>
      <c r="R188" s="320">
        <f t="shared" si="195"/>
        <v>0.992767752685504</v>
      </c>
      <c r="S188" s="320">
        <f t="shared" si="195"/>
        <v>0.992402081829579</v>
      </c>
      <c r="T188" s="320">
        <f t="shared" si="195"/>
        <v>0.991961590222966</v>
      </c>
      <c r="U188" s="320">
        <f t="shared" si="195"/>
        <v>0.99349263921485</v>
      </c>
      <c r="W188" s="231">
        <f t="shared" ref="W188:Z188" si="196">+W192/W150</f>
        <v>0.992596097642442</v>
      </c>
      <c r="X188" s="231">
        <f t="shared" si="196"/>
        <v>0.992675225306596</v>
      </c>
      <c r="Y188" s="231">
        <f t="shared" si="196"/>
        <v>0.992673891492875</v>
      </c>
      <c r="Z188" s="231">
        <f t="shared" si="196"/>
        <v>0.992672341979167</v>
      </c>
    </row>
    <row r="189" outlineLevel="1"/>
    <row r="190" outlineLevel="1" spans="3:26">
      <c r="C190" s="51" t="s">
        <v>275</v>
      </c>
      <c r="D190" s="181" t="s">
        <v>48</v>
      </c>
      <c r="F190" s="324">
        <f t="shared" ref="F190:U190" si="197">+F148</f>
        <v>24.408</v>
      </c>
      <c r="G190" s="324">
        <f t="shared" si="197"/>
        <v>37.299</v>
      </c>
      <c r="H190" s="324">
        <f t="shared" si="197"/>
        <v>28.524</v>
      </c>
      <c r="I190" s="324">
        <f t="shared" si="197"/>
        <v>33.734</v>
      </c>
      <c r="J190" s="324">
        <f t="shared" si="197"/>
        <v>35.23</v>
      </c>
      <c r="K190" s="324">
        <f t="shared" si="197"/>
        <v>31.6170312636908</v>
      </c>
      <c r="L190" s="324">
        <f t="shared" si="197"/>
        <v>35.0199370769364</v>
      </c>
      <c r="M190" s="324">
        <f t="shared" si="197"/>
        <v>41.3971336442303</v>
      </c>
      <c r="N190" s="324">
        <f t="shared" si="197"/>
        <v>42.0053648048507</v>
      </c>
      <c r="O190" s="324">
        <f t="shared" si="197"/>
        <v>40.5951663257733</v>
      </c>
      <c r="P190" s="324">
        <f t="shared" si="197"/>
        <v>45.5032261182617</v>
      </c>
      <c r="Q190" s="324">
        <f t="shared" si="197"/>
        <v>47.699322199675</v>
      </c>
      <c r="R190" s="324">
        <f t="shared" si="197"/>
        <v>51.6406436289974</v>
      </c>
      <c r="S190" s="324">
        <f t="shared" si="197"/>
        <v>50.0403132828664</v>
      </c>
      <c r="T190" s="324">
        <f t="shared" si="197"/>
        <v>56.1328643456708</v>
      </c>
      <c r="U190" s="324">
        <f t="shared" si="197"/>
        <v>60.7781232101008</v>
      </c>
      <c r="W190" s="336">
        <f t="shared" ref="W190:Z190" si="198">SUMIF($F$25:$U$25,W$25,$F190:$U190)</f>
        <v>123.965</v>
      </c>
      <c r="X190" s="336">
        <f t="shared" si="198"/>
        <v>143.264101984857</v>
      </c>
      <c r="Y190" s="336">
        <f t="shared" si="198"/>
        <v>175.803079448561</v>
      </c>
      <c r="Z190" s="336">
        <f t="shared" si="198"/>
        <v>218.591944467635</v>
      </c>
    </row>
    <row r="191" outlineLevel="1" spans="3:26">
      <c r="C191" s="51" t="s">
        <v>268</v>
      </c>
      <c r="D191" s="181" t="s">
        <v>48</v>
      </c>
      <c r="F191" s="309">
        <f t="shared" ref="F191:U191" si="199">+F149</f>
        <v>5.478</v>
      </c>
      <c r="G191" s="309">
        <f t="shared" si="199"/>
        <v>7.467</v>
      </c>
      <c r="H191" s="309">
        <f t="shared" si="199"/>
        <v>5.144</v>
      </c>
      <c r="I191" s="309">
        <f t="shared" si="199"/>
        <v>6.159</v>
      </c>
      <c r="J191" s="309">
        <f t="shared" si="199"/>
        <v>5.712</v>
      </c>
      <c r="K191" s="309">
        <f t="shared" si="199"/>
        <v>6.5736</v>
      </c>
      <c r="L191" s="309">
        <f t="shared" si="199"/>
        <v>8.58705</v>
      </c>
      <c r="M191" s="309">
        <f t="shared" si="199"/>
        <v>5.6584</v>
      </c>
      <c r="N191" s="309">
        <f t="shared" si="199"/>
        <v>6.46695</v>
      </c>
      <c r="O191" s="309">
        <f t="shared" si="199"/>
        <v>5.9976</v>
      </c>
      <c r="P191" s="309">
        <f t="shared" si="199"/>
        <v>6.90228</v>
      </c>
      <c r="Q191" s="309">
        <f t="shared" si="199"/>
        <v>9.0164025</v>
      </c>
      <c r="R191" s="309">
        <f t="shared" si="199"/>
        <v>5.94132</v>
      </c>
      <c r="S191" s="309">
        <f t="shared" si="199"/>
        <v>6.7902975</v>
      </c>
      <c r="T191" s="309">
        <f t="shared" si="199"/>
        <v>6.29748</v>
      </c>
      <c r="U191" s="309">
        <f t="shared" si="199"/>
        <v>7.247394</v>
      </c>
      <c r="W191" s="289">
        <f t="shared" ref="W191:Z191" si="200">SUMIF($F$25:$U$25,W$25,$F191:$U191)</f>
        <v>24.248</v>
      </c>
      <c r="X191" s="289">
        <f t="shared" si="200"/>
        <v>26.53105</v>
      </c>
      <c r="Y191" s="289">
        <f t="shared" si="200"/>
        <v>28.3832325</v>
      </c>
      <c r="Z191" s="289">
        <f t="shared" si="200"/>
        <v>26.2764915</v>
      </c>
    </row>
    <row r="192" outlineLevel="1" spans="3:26">
      <c r="C192" s="51" t="s">
        <v>306</v>
      </c>
      <c r="D192" s="181" t="s">
        <v>48</v>
      </c>
      <c r="F192" s="275">
        <v>25.649</v>
      </c>
      <c r="G192" s="275">
        <v>26.123</v>
      </c>
      <c r="H192" s="275">
        <v>27.272</v>
      </c>
      <c r="I192" s="275">
        <v>27.939</v>
      </c>
      <c r="J192" s="275">
        <v>28.003</v>
      </c>
      <c r="K192" s="274">
        <f t="shared" ref="K192:U192" si="201">+K188*K150</f>
        <v>27.9411907970032</v>
      </c>
      <c r="L192" s="274">
        <f t="shared" si="201"/>
        <v>29.8497040590801</v>
      </c>
      <c r="M192" s="274">
        <f t="shared" si="201"/>
        <v>32.2750553844715</v>
      </c>
      <c r="N192" s="274">
        <f t="shared" si="201"/>
        <v>33.2990550281753</v>
      </c>
      <c r="O192" s="274">
        <f t="shared" si="201"/>
        <v>33.5632959508886</v>
      </c>
      <c r="P192" s="274">
        <f t="shared" si="201"/>
        <v>35.5145518206009</v>
      </c>
      <c r="Q192" s="274">
        <f t="shared" si="201"/>
        <v>38.2794193860406</v>
      </c>
      <c r="R192" s="274">
        <f t="shared" si="201"/>
        <v>39.3791095839933</v>
      </c>
      <c r="S192" s="274">
        <f t="shared" si="201"/>
        <v>40.0184530328952</v>
      </c>
      <c r="T192" s="274">
        <f t="shared" si="201"/>
        <v>42.0938170445304</v>
      </c>
      <c r="U192" s="274">
        <f t="shared" si="201"/>
        <v>45.1443409302813</v>
      </c>
      <c r="W192" s="289">
        <f t="shared" ref="W192:Z192" si="202">SUMIF($F$25:$U$25,W$25,$F192:$U192)</f>
        <v>106.983</v>
      </c>
      <c r="X192" s="289">
        <f t="shared" si="202"/>
        <v>118.068950240555</v>
      </c>
      <c r="Y192" s="289">
        <f t="shared" si="202"/>
        <v>140.656322185705</v>
      </c>
      <c r="Z192" s="289">
        <f t="shared" si="202"/>
        <v>166.6357205917</v>
      </c>
    </row>
    <row r="193" outlineLevel="1" spans="3:26">
      <c r="C193" s="51" t="s">
        <v>307</v>
      </c>
      <c r="D193" s="181" t="s">
        <v>48</v>
      </c>
      <c r="F193" s="275">
        <v>0</v>
      </c>
      <c r="G193" s="275">
        <v>0</v>
      </c>
      <c r="H193" s="275">
        <v>0</v>
      </c>
      <c r="I193" s="275">
        <v>0</v>
      </c>
      <c r="J193" s="275">
        <v>0</v>
      </c>
      <c r="K193" s="337">
        <v>0</v>
      </c>
      <c r="L193" s="334">
        <f t="shared" ref="L193:U193" si="203">+K193</f>
        <v>0</v>
      </c>
      <c r="M193" s="334">
        <f t="shared" si="203"/>
        <v>0</v>
      </c>
      <c r="N193" s="334">
        <f t="shared" si="203"/>
        <v>0</v>
      </c>
      <c r="O193" s="338">
        <f t="shared" si="203"/>
        <v>0</v>
      </c>
      <c r="P193" s="338">
        <f t="shared" si="203"/>
        <v>0</v>
      </c>
      <c r="Q193" s="338">
        <f t="shared" si="203"/>
        <v>0</v>
      </c>
      <c r="R193" s="338">
        <f t="shared" si="203"/>
        <v>0</v>
      </c>
      <c r="S193" s="338">
        <f t="shared" si="203"/>
        <v>0</v>
      </c>
      <c r="T193" s="338">
        <f t="shared" si="203"/>
        <v>0</v>
      </c>
      <c r="U193" s="338">
        <f t="shared" si="203"/>
        <v>0</v>
      </c>
      <c r="W193" s="289">
        <f t="shared" ref="W193:Z193" si="204">SUMIF($F$25:$U$25,W$25,$F193:$U193)</f>
        <v>0</v>
      </c>
      <c r="X193" s="289">
        <f t="shared" si="204"/>
        <v>0</v>
      </c>
      <c r="Y193" s="289">
        <f t="shared" si="204"/>
        <v>0</v>
      </c>
      <c r="Z193" s="289">
        <f t="shared" si="204"/>
        <v>0</v>
      </c>
    </row>
    <row r="194" outlineLevel="1" spans="3:26">
      <c r="C194" s="51" t="s">
        <v>281</v>
      </c>
      <c r="D194" s="181" t="s">
        <v>48</v>
      </c>
      <c r="F194" s="289">
        <f t="shared" ref="F194:U194" si="205">+F151</f>
        <v>0</v>
      </c>
      <c r="G194" s="289">
        <f t="shared" si="205"/>
        <v>-23.064</v>
      </c>
      <c r="H194" s="289">
        <f t="shared" si="205"/>
        <v>0.231</v>
      </c>
      <c r="I194" s="289">
        <f t="shared" si="205"/>
        <v>0</v>
      </c>
      <c r="J194" s="289">
        <f t="shared" si="205"/>
        <v>0</v>
      </c>
      <c r="K194" s="289">
        <f t="shared" si="205"/>
        <v>0</v>
      </c>
      <c r="L194" s="289">
        <f t="shared" si="205"/>
        <v>0</v>
      </c>
      <c r="M194" s="289">
        <f t="shared" si="205"/>
        <v>0</v>
      </c>
      <c r="N194" s="289">
        <f t="shared" si="205"/>
        <v>0</v>
      </c>
      <c r="O194" s="289">
        <f t="shared" si="205"/>
        <v>0</v>
      </c>
      <c r="P194" s="289">
        <f t="shared" si="205"/>
        <v>0</v>
      </c>
      <c r="Q194" s="289">
        <f t="shared" si="205"/>
        <v>0</v>
      </c>
      <c r="R194" s="289">
        <f t="shared" si="205"/>
        <v>0</v>
      </c>
      <c r="S194" s="289">
        <f t="shared" si="205"/>
        <v>0</v>
      </c>
      <c r="T194" s="289">
        <f t="shared" si="205"/>
        <v>0</v>
      </c>
      <c r="U194" s="289">
        <f t="shared" si="205"/>
        <v>0</v>
      </c>
      <c r="W194" s="311">
        <f t="shared" ref="W194:Z194" si="206">SUMIF($F$25:$U$25,W$25,$F194:$U194)</f>
        <v>-22.833</v>
      </c>
      <c r="X194" s="311">
        <f t="shared" si="206"/>
        <v>0</v>
      </c>
      <c r="Y194" s="311">
        <f t="shared" si="206"/>
        <v>0</v>
      </c>
      <c r="Z194" s="311">
        <f t="shared" si="206"/>
        <v>0</v>
      </c>
    </row>
    <row r="195" outlineLevel="1" spans="3:26">
      <c r="C195" s="189" t="s">
        <v>50</v>
      </c>
      <c r="D195" s="190" t="s">
        <v>48</v>
      </c>
      <c r="E195" s="212"/>
      <c r="F195" s="272">
        <f t="shared" ref="F195:U195" si="207">SUM(F190:F194)</f>
        <v>55.535</v>
      </c>
      <c r="G195" s="272">
        <f t="shared" si="207"/>
        <v>47.825</v>
      </c>
      <c r="H195" s="272">
        <f t="shared" si="207"/>
        <v>61.171</v>
      </c>
      <c r="I195" s="272">
        <f t="shared" si="207"/>
        <v>67.832</v>
      </c>
      <c r="J195" s="272">
        <f t="shared" si="207"/>
        <v>68.945</v>
      </c>
      <c r="K195" s="272">
        <f t="shared" si="207"/>
        <v>66.131822060694</v>
      </c>
      <c r="L195" s="272">
        <f t="shared" si="207"/>
        <v>73.4566911360165</v>
      </c>
      <c r="M195" s="272">
        <f t="shared" si="207"/>
        <v>79.3305890287018</v>
      </c>
      <c r="N195" s="272">
        <f t="shared" si="207"/>
        <v>81.771369833026</v>
      </c>
      <c r="O195" s="272">
        <f t="shared" si="207"/>
        <v>80.1560622766619</v>
      </c>
      <c r="P195" s="272">
        <f t="shared" si="207"/>
        <v>87.9200579388626</v>
      </c>
      <c r="Q195" s="272">
        <f t="shared" si="207"/>
        <v>94.9951440857157</v>
      </c>
      <c r="R195" s="272">
        <f t="shared" si="207"/>
        <v>96.9610732129907</v>
      </c>
      <c r="S195" s="272">
        <f t="shared" si="207"/>
        <v>96.8490638157616</v>
      </c>
      <c r="T195" s="272">
        <f t="shared" si="207"/>
        <v>104.524161390201</v>
      </c>
      <c r="U195" s="272">
        <f t="shared" si="207"/>
        <v>113.169858140382</v>
      </c>
      <c r="W195" s="224">
        <f t="shared" ref="W195:Z195" si="208">SUM(W190:W194)</f>
        <v>232.363</v>
      </c>
      <c r="X195" s="224">
        <f t="shared" si="208"/>
        <v>287.864102225412</v>
      </c>
      <c r="Y195" s="224">
        <f t="shared" si="208"/>
        <v>344.842634134266</v>
      </c>
      <c r="Z195" s="224">
        <f t="shared" si="208"/>
        <v>411.504156559336</v>
      </c>
    </row>
    <row r="196" outlineLevel="1" spans="8:8">
      <c r="H196" s="309"/>
    </row>
    <row r="197" outlineLevel="1" spans="3:26">
      <c r="C197" s="11" t="s">
        <v>50</v>
      </c>
      <c r="D197" s="181" t="s">
        <v>48</v>
      </c>
      <c r="F197" s="309">
        <f t="shared" ref="F197:U197" si="209">+F195</f>
        <v>55.535</v>
      </c>
      <c r="G197" s="309">
        <f t="shared" si="209"/>
        <v>47.825</v>
      </c>
      <c r="H197" s="309">
        <f t="shared" si="209"/>
        <v>61.171</v>
      </c>
      <c r="I197" s="309">
        <f t="shared" si="209"/>
        <v>67.832</v>
      </c>
      <c r="J197" s="309">
        <f t="shared" si="209"/>
        <v>68.945</v>
      </c>
      <c r="K197" s="309">
        <f t="shared" si="209"/>
        <v>66.131822060694</v>
      </c>
      <c r="L197" s="309">
        <f t="shared" si="209"/>
        <v>73.4566911360165</v>
      </c>
      <c r="M197" s="309">
        <f t="shared" si="209"/>
        <v>79.3305890287018</v>
      </c>
      <c r="N197" s="309">
        <f t="shared" si="209"/>
        <v>81.771369833026</v>
      </c>
      <c r="O197" s="309">
        <f t="shared" si="209"/>
        <v>80.1560622766619</v>
      </c>
      <c r="P197" s="309">
        <f t="shared" si="209"/>
        <v>87.9200579388626</v>
      </c>
      <c r="Q197" s="309">
        <f t="shared" si="209"/>
        <v>94.9951440857157</v>
      </c>
      <c r="R197" s="309">
        <f t="shared" si="209"/>
        <v>96.9610732129907</v>
      </c>
      <c r="S197" s="309">
        <f t="shared" si="209"/>
        <v>96.8490638157616</v>
      </c>
      <c r="T197" s="309">
        <f t="shared" si="209"/>
        <v>104.524161390201</v>
      </c>
      <c r="U197" s="309">
        <f t="shared" si="209"/>
        <v>113.169858140382</v>
      </c>
      <c r="W197" s="309">
        <f t="shared" ref="W197:Z197" si="210">SUMIF($F$25:$U$25,W$25,$F197:$U197)</f>
        <v>232.363</v>
      </c>
      <c r="X197" s="309">
        <f t="shared" si="210"/>
        <v>287.864102225412</v>
      </c>
      <c r="Y197" s="309">
        <f t="shared" si="210"/>
        <v>344.842634134266</v>
      </c>
      <c r="Z197" s="309">
        <f t="shared" si="210"/>
        <v>411.504156559336</v>
      </c>
    </row>
    <row r="198" outlineLevel="1" spans="3:26">
      <c r="C198" s="51" t="s">
        <v>309</v>
      </c>
      <c r="D198" s="181" t="s">
        <v>48</v>
      </c>
      <c r="F198" s="289">
        <f t="shared" ref="F198:U198" si="211">+F150-F192</f>
        <v>0.193999999999999</v>
      </c>
      <c r="G198" s="289">
        <f t="shared" si="211"/>
        <v>0.199999999999999</v>
      </c>
      <c r="H198" s="289">
        <f t="shared" si="211"/>
        <v>0.221</v>
      </c>
      <c r="I198" s="289">
        <f t="shared" si="211"/>
        <v>0.183</v>
      </c>
      <c r="J198" s="289">
        <f t="shared" si="211"/>
        <v>0.204000000000001</v>
      </c>
      <c r="K198" s="309">
        <f t="shared" si="211"/>
        <v>0.213920229659713</v>
      </c>
      <c r="L198" s="309">
        <f t="shared" si="211"/>
        <v>0.241888552253474</v>
      </c>
      <c r="M198" s="309">
        <f t="shared" si="211"/>
        <v>0.211401092929535</v>
      </c>
      <c r="N198" s="309">
        <f t="shared" si="211"/>
        <v>0.2425814100542</v>
      </c>
      <c r="O198" s="309">
        <f t="shared" si="211"/>
        <v>0.256963564298808</v>
      </c>
      <c r="P198" s="309">
        <f t="shared" si="211"/>
        <v>0.287793926090963</v>
      </c>
      <c r="Q198" s="309">
        <f t="shared" si="211"/>
        <v>0.250729580430416</v>
      </c>
      <c r="R198" s="309">
        <f t="shared" si="211"/>
        <v>0.286874204732875</v>
      </c>
      <c r="S198" s="309">
        <f t="shared" si="211"/>
        <v>0.306384818228345</v>
      </c>
      <c r="T198" s="309">
        <f t="shared" si="211"/>
        <v>0.341109327032903</v>
      </c>
      <c r="U198" s="309">
        <f t="shared" si="211"/>
        <v>0.295694705975215</v>
      </c>
      <c r="W198" s="309">
        <f t="shared" ref="W198:Z198" si="212">SUMIF($F$25:$U$25,W$25,$F198:$U198)</f>
        <v>0.797999999999998</v>
      </c>
      <c r="X198" s="309">
        <f t="shared" si="212"/>
        <v>0.871209874842723</v>
      </c>
      <c r="Y198" s="309">
        <f t="shared" si="212"/>
        <v>1.03806848087439</v>
      </c>
      <c r="Z198" s="309">
        <f t="shared" si="212"/>
        <v>1.23006305596934</v>
      </c>
    </row>
    <row r="199" outlineLevel="1" spans="3:26">
      <c r="C199" s="51" t="s">
        <v>282</v>
      </c>
      <c r="D199" s="181" t="s">
        <v>48</v>
      </c>
      <c r="F199" s="309">
        <f t="shared" ref="F199:U199" si="213">+F153</f>
        <v>-1.737</v>
      </c>
      <c r="G199" s="309">
        <f t="shared" si="213"/>
        <v>0.696</v>
      </c>
      <c r="H199" s="309">
        <f t="shared" si="213"/>
        <v>-0.133</v>
      </c>
      <c r="I199" s="309">
        <f t="shared" si="213"/>
        <v>1.081</v>
      </c>
      <c r="J199" s="309">
        <f t="shared" si="213"/>
        <v>1.718</v>
      </c>
      <c r="K199" s="309">
        <f t="shared" si="213"/>
        <v>-1.92357884154363</v>
      </c>
      <c r="L199" s="309">
        <f t="shared" si="213"/>
        <v>0.796087537693134</v>
      </c>
      <c r="M199" s="309">
        <f t="shared" si="213"/>
        <v>-0.16206184063398</v>
      </c>
      <c r="N199" s="309">
        <f t="shared" si="213"/>
        <v>1.26544818086218</v>
      </c>
      <c r="O199" s="309">
        <f t="shared" si="213"/>
        <v>2.03409792358368</v>
      </c>
      <c r="P199" s="309">
        <f t="shared" si="213"/>
        <v>-2.44740602759358</v>
      </c>
      <c r="Q199" s="309">
        <f t="shared" si="213"/>
        <v>1.05115135790039</v>
      </c>
      <c r="R199" s="309">
        <f t="shared" si="213"/>
        <v>-0.194212546751336</v>
      </c>
      <c r="S199" s="309">
        <f t="shared" si="213"/>
        <v>1.50231639935757</v>
      </c>
      <c r="T199" s="309">
        <f t="shared" si="213"/>
        <v>2.55364292300706</v>
      </c>
      <c r="U199" s="309">
        <f t="shared" si="213"/>
        <v>-3.20318573816114</v>
      </c>
      <c r="W199" s="309">
        <f t="shared" ref="W199:Z199" si="214">SUMIF($F$25:$U$25,W$25,$F199:$U199)</f>
        <v>-0.0930000000000002</v>
      </c>
      <c r="X199" s="309">
        <f t="shared" si="214"/>
        <v>0.428446855515525</v>
      </c>
      <c r="Y199" s="309">
        <f t="shared" si="214"/>
        <v>1.90329143475266</v>
      </c>
      <c r="Z199" s="309">
        <f t="shared" si="214"/>
        <v>0.658561037452148</v>
      </c>
    </row>
    <row r="200" outlineLevel="1" spans="3:26">
      <c r="C200" s="51" t="s">
        <v>284</v>
      </c>
      <c r="D200" s="181" t="s">
        <v>48</v>
      </c>
      <c r="F200" s="309">
        <f t="shared" ref="F200:U200" si="215">+F154</f>
        <v>-0.116</v>
      </c>
      <c r="G200" s="309">
        <f t="shared" si="215"/>
        <v>-0.106</v>
      </c>
      <c r="H200" s="309">
        <f t="shared" si="215"/>
        <v>-0.098</v>
      </c>
      <c r="I200" s="309">
        <f t="shared" si="215"/>
        <v>-0.091</v>
      </c>
      <c r="J200" s="309">
        <f t="shared" si="215"/>
        <v>-0.271</v>
      </c>
      <c r="K200" s="309">
        <f t="shared" si="215"/>
        <v>-0.106</v>
      </c>
      <c r="L200" s="309">
        <f t="shared" si="215"/>
        <v>-0.098</v>
      </c>
      <c r="M200" s="309">
        <f t="shared" si="215"/>
        <v>-0.091</v>
      </c>
      <c r="N200" s="309">
        <f t="shared" si="215"/>
        <v>-0.271</v>
      </c>
      <c r="O200" s="309">
        <f t="shared" si="215"/>
        <v>-0.106</v>
      </c>
      <c r="P200" s="309">
        <f t="shared" si="215"/>
        <v>-0.098</v>
      </c>
      <c r="Q200" s="309">
        <f t="shared" si="215"/>
        <v>-0.091</v>
      </c>
      <c r="R200" s="309">
        <f t="shared" si="215"/>
        <v>-0.271</v>
      </c>
      <c r="S200" s="309">
        <f t="shared" si="215"/>
        <v>-0.106</v>
      </c>
      <c r="T200" s="309">
        <f t="shared" si="215"/>
        <v>-0.098</v>
      </c>
      <c r="U200" s="309">
        <f t="shared" si="215"/>
        <v>-0.091</v>
      </c>
      <c r="W200" s="309">
        <f t="shared" ref="W200:Z200" si="216">SUMIF($F$25:$U$25,W$25,$F200:$U200)</f>
        <v>-0.411</v>
      </c>
      <c r="X200" s="309">
        <f t="shared" si="216"/>
        <v>-0.566</v>
      </c>
      <c r="Y200" s="309">
        <f t="shared" si="216"/>
        <v>-0.566</v>
      </c>
      <c r="Z200" s="309">
        <f t="shared" si="216"/>
        <v>-0.566</v>
      </c>
    </row>
    <row r="201" outlineLevel="1" spans="3:26">
      <c r="C201" s="51" t="s">
        <v>292</v>
      </c>
      <c r="D201" s="181" t="s">
        <v>48</v>
      </c>
      <c r="F201" s="309">
        <f t="shared" ref="F201:U201" si="217">+F161</f>
        <v>-2.099</v>
      </c>
      <c r="G201" s="309">
        <f t="shared" si="217"/>
        <v>-0.999</v>
      </c>
      <c r="H201" s="309">
        <f t="shared" si="217"/>
        <v>-0.874</v>
      </c>
      <c r="I201" s="309">
        <f t="shared" si="217"/>
        <v>-0.871</v>
      </c>
      <c r="J201" s="309">
        <f t="shared" si="217"/>
        <v>-0.186</v>
      </c>
      <c r="K201" s="309">
        <f t="shared" si="217"/>
        <v>-1.0998751392</v>
      </c>
      <c r="L201" s="309">
        <f t="shared" si="217"/>
        <v>-1.02915589</v>
      </c>
      <c r="M201" s="309">
        <f t="shared" si="217"/>
        <v>-0.98206551</v>
      </c>
      <c r="N201" s="309">
        <f t="shared" si="217"/>
        <v>-2.48795775</v>
      </c>
      <c r="O201" s="309">
        <f t="shared" si="217"/>
        <v>-1.3211833051136</v>
      </c>
      <c r="P201" s="309">
        <f t="shared" si="217"/>
        <v>-1.224468092365</v>
      </c>
      <c r="Q201" s="309">
        <f t="shared" si="217"/>
        <v>-1.16476632105</v>
      </c>
      <c r="R201" s="309">
        <f t="shared" si="217"/>
        <v>-2.9422324686</v>
      </c>
      <c r="S201" s="309">
        <f t="shared" si="217"/>
        <v>-1.5752836706174</v>
      </c>
      <c r="T201" s="309">
        <f t="shared" si="217"/>
        <v>-1.45130751240338</v>
      </c>
      <c r="U201" s="309">
        <f t="shared" si="217"/>
        <v>-1.37365218033495</v>
      </c>
      <c r="W201" s="309">
        <f t="shared" ref="W201:Z201" si="218">SUMIF($F$25:$U$25,W$25,$F201:$U201)</f>
        <v>-4.843</v>
      </c>
      <c r="X201" s="309">
        <f t="shared" si="218"/>
        <v>-3.2970965392</v>
      </c>
      <c r="Y201" s="309">
        <f t="shared" si="218"/>
        <v>-6.1983754685286</v>
      </c>
      <c r="Z201" s="309">
        <f t="shared" si="218"/>
        <v>-7.34247583195573</v>
      </c>
    </row>
    <row r="202" outlineLevel="1" spans="3:26">
      <c r="C202" s="51" t="s">
        <v>293</v>
      </c>
      <c r="D202" s="181" t="s">
        <v>48</v>
      </c>
      <c r="F202" s="309">
        <f t="shared" ref="F202:U202" si="219">+F162</f>
        <v>-1.611</v>
      </c>
      <c r="G202" s="309">
        <f t="shared" si="219"/>
        <v>-1.839</v>
      </c>
      <c r="H202" s="309">
        <f t="shared" si="219"/>
        <v>-0.184</v>
      </c>
      <c r="I202" s="309">
        <f t="shared" si="219"/>
        <v>-0.243</v>
      </c>
      <c r="J202" s="309">
        <f t="shared" si="219"/>
        <v>-0.276</v>
      </c>
      <c r="K202" s="309">
        <f t="shared" si="219"/>
        <v>-0.687421962</v>
      </c>
      <c r="L202" s="309">
        <f t="shared" si="219"/>
        <v>-0.58808908</v>
      </c>
      <c r="M202" s="309">
        <f t="shared" si="219"/>
        <v>-0.65471034</v>
      </c>
      <c r="N202" s="309">
        <f t="shared" si="219"/>
        <v>-2.15623005</v>
      </c>
      <c r="O202" s="309">
        <f t="shared" si="219"/>
        <v>-0.825739565696</v>
      </c>
      <c r="P202" s="309">
        <f t="shared" si="219"/>
        <v>-0.69969605278</v>
      </c>
      <c r="Q202" s="309">
        <f t="shared" si="219"/>
        <v>-0.7765108807</v>
      </c>
      <c r="R202" s="309">
        <f t="shared" si="219"/>
        <v>-2.54993480612</v>
      </c>
      <c r="S202" s="309">
        <f t="shared" si="219"/>
        <v>-0.984552294135872</v>
      </c>
      <c r="T202" s="309">
        <f t="shared" si="219"/>
        <v>-0.82931857851622</v>
      </c>
      <c r="U202" s="309">
        <f t="shared" si="219"/>
        <v>-0.9157681202233</v>
      </c>
      <c r="W202" s="309">
        <f t="shared" ref="W202:Z202" si="220">SUMIF($F$25:$U$25,W$25,$F202:$U202)</f>
        <v>-3.877</v>
      </c>
      <c r="X202" s="309">
        <f t="shared" si="220"/>
        <v>-2.206221382</v>
      </c>
      <c r="Y202" s="309">
        <f t="shared" si="220"/>
        <v>-4.458176549176</v>
      </c>
      <c r="Z202" s="309">
        <f t="shared" si="220"/>
        <v>-5.27957379899539</v>
      </c>
    </row>
    <row r="203" outlineLevel="1" spans="3:26">
      <c r="C203" s="189" t="s">
        <v>51</v>
      </c>
      <c r="D203" s="190" t="s">
        <v>48</v>
      </c>
      <c r="E203" s="212"/>
      <c r="F203" s="332">
        <f t="shared" ref="F203:U203" si="221">SUM(F197:F202)</f>
        <v>50.166</v>
      </c>
      <c r="G203" s="332">
        <f t="shared" si="221"/>
        <v>45.777</v>
      </c>
      <c r="H203" s="332">
        <f t="shared" si="221"/>
        <v>60.103</v>
      </c>
      <c r="I203" s="332">
        <f t="shared" si="221"/>
        <v>67.891</v>
      </c>
      <c r="J203" s="332">
        <f t="shared" si="221"/>
        <v>70.134</v>
      </c>
      <c r="K203" s="332">
        <f t="shared" si="221"/>
        <v>62.5288663476101</v>
      </c>
      <c r="L203" s="332">
        <f t="shared" si="221"/>
        <v>72.7794222559631</v>
      </c>
      <c r="M203" s="332">
        <f t="shared" si="221"/>
        <v>77.6521524309974</v>
      </c>
      <c r="N203" s="332">
        <f t="shared" si="221"/>
        <v>78.3642116239424</v>
      </c>
      <c r="O203" s="332">
        <f t="shared" si="221"/>
        <v>80.1942008937348</v>
      </c>
      <c r="P203" s="332">
        <f t="shared" si="221"/>
        <v>83.738281692215</v>
      </c>
      <c r="Q203" s="332">
        <f t="shared" si="221"/>
        <v>94.2647478222965</v>
      </c>
      <c r="R203" s="332">
        <f t="shared" si="221"/>
        <v>91.2905675962522</v>
      </c>
      <c r="S203" s="332">
        <f t="shared" si="221"/>
        <v>95.9919290685943</v>
      </c>
      <c r="T203" s="332">
        <f t="shared" si="221"/>
        <v>105.040287549322</v>
      </c>
      <c r="U203" s="332">
        <f t="shared" si="221"/>
        <v>107.881946807638</v>
      </c>
      <c r="W203" s="332">
        <f t="shared" ref="W203:Z203" si="222">SUM(W197:W202)</f>
        <v>223.937</v>
      </c>
      <c r="X203" s="332">
        <f t="shared" si="222"/>
        <v>283.094441034571</v>
      </c>
      <c r="Y203" s="332">
        <f t="shared" si="222"/>
        <v>336.561442032189</v>
      </c>
      <c r="Z203" s="332">
        <f t="shared" si="222"/>
        <v>400.204731021806</v>
      </c>
    </row>
    <row r="204" outlineLevel="1"/>
    <row r="205" outlineLevel="1" spans="3:26">
      <c r="C205" s="11" t="s">
        <v>310</v>
      </c>
      <c r="D205" s="736" t="s">
        <v>56</v>
      </c>
      <c r="F205" s="231">
        <f t="shared" ref="F205:J205" si="223">-F172/F203</f>
        <v>0.619343778654866</v>
      </c>
      <c r="G205" s="231">
        <f t="shared" si="223"/>
        <v>0.764095506477052</v>
      </c>
      <c r="H205" s="231">
        <f t="shared" si="223"/>
        <v>0.590769179575063</v>
      </c>
      <c r="I205" s="231">
        <f t="shared" si="223"/>
        <v>0.52320631600654</v>
      </c>
      <c r="J205" s="231">
        <f t="shared" si="223"/>
        <v>0.540394102717655</v>
      </c>
      <c r="K205" s="182">
        <v>0.65</v>
      </c>
      <c r="L205" s="182">
        <v>0.55</v>
      </c>
      <c r="M205" s="182">
        <v>0.57</v>
      </c>
      <c r="N205" s="182">
        <v>0.59</v>
      </c>
      <c r="O205" s="320">
        <f t="shared" ref="O205:U205" si="224">+K205</f>
        <v>0.65</v>
      </c>
      <c r="P205" s="320">
        <f t="shared" si="224"/>
        <v>0.55</v>
      </c>
      <c r="Q205" s="320">
        <f t="shared" si="224"/>
        <v>0.57</v>
      </c>
      <c r="R205" s="320">
        <f t="shared" si="224"/>
        <v>0.59</v>
      </c>
      <c r="S205" s="320">
        <f t="shared" si="224"/>
        <v>0.65</v>
      </c>
      <c r="T205" s="320">
        <f t="shared" si="224"/>
        <v>0.55</v>
      </c>
      <c r="U205" s="320">
        <f t="shared" si="224"/>
        <v>0.57</v>
      </c>
      <c r="W205" s="231">
        <f t="shared" ref="W205:Z205" si="225">-W172/W203</f>
        <v>0.612118586924001</v>
      </c>
      <c r="X205" s="231">
        <f t="shared" si="225"/>
        <v>0.575193817502443</v>
      </c>
      <c r="Y205" s="231">
        <f t="shared" si="225"/>
        <v>0.588742654036793</v>
      </c>
      <c r="Z205" s="231">
        <f t="shared" si="225"/>
        <v>0.588501430274253</v>
      </c>
    </row>
    <row r="206" outlineLevel="1" spans="3:26">
      <c r="C206" s="11" t="s">
        <v>502</v>
      </c>
      <c r="D206" s="181" t="s">
        <v>48</v>
      </c>
      <c r="F206" s="274"/>
      <c r="G206" s="274"/>
      <c r="H206" s="274"/>
      <c r="I206" s="274"/>
      <c r="J206" s="274"/>
      <c r="K206" s="274">
        <f t="shared" ref="K206:U206" si="226">+K205*K203</f>
        <v>40.6437631259466</v>
      </c>
      <c r="L206" s="274">
        <f t="shared" si="226"/>
        <v>40.0286822407797</v>
      </c>
      <c r="M206" s="274">
        <f t="shared" si="226"/>
        <v>44.2617268856685</v>
      </c>
      <c r="N206" s="274">
        <f t="shared" si="226"/>
        <v>46.234884858126</v>
      </c>
      <c r="O206" s="274">
        <f t="shared" si="226"/>
        <v>52.1262305809276</v>
      </c>
      <c r="P206" s="274">
        <f t="shared" si="226"/>
        <v>46.0560549307183</v>
      </c>
      <c r="Q206" s="274">
        <f t="shared" si="226"/>
        <v>53.730906258709</v>
      </c>
      <c r="R206" s="274">
        <f t="shared" si="226"/>
        <v>53.8614348817888</v>
      </c>
      <c r="S206" s="274">
        <f t="shared" si="226"/>
        <v>62.3947538945863</v>
      </c>
      <c r="T206" s="274">
        <f t="shared" si="226"/>
        <v>57.7721581521268</v>
      </c>
      <c r="U206" s="274">
        <f t="shared" si="226"/>
        <v>61.4927096803536</v>
      </c>
      <c r="W206" s="274"/>
      <c r="X206" s="274"/>
      <c r="Y206" s="274"/>
      <c r="Z206" s="274"/>
    </row>
    <row r="207" outlineLevel="1"/>
    <row r="208" outlineLevel="1" spans="3:21">
      <c r="C208" s="11" t="s">
        <v>503</v>
      </c>
      <c r="D208" s="181" t="s">
        <v>48</v>
      </c>
      <c r="F208" s="231"/>
      <c r="G208" s="231"/>
      <c r="H208" s="231"/>
      <c r="I208" s="231"/>
      <c r="J208" s="231"/>
      <c r="K208" s="274">
        <f>-(SUM(K39:K41)+K43)*Num_Periods*Seller_Min_Cash_Pct</f>
        <v>21.7725478438585</v>
      </c>
      <c r="L208" s="274">
        <f>-(SUM(L39:L41)+L43)*Num_Periods*Seller_Min_Cash_Pct</f>
        <v>22.2978613739829</v>
      </c>
      <c r="M208" s="274">
        <f>-(SUM(M39:M41)+M43)*Num_Periods*Seller_Min_Cash_Pct</f>
        <v>26.2272120226414</v>
      </c>
      <c r="N208" s="274">
        <f>-(SUM(N39:N41)+N43)*Num_Periods*Seller_Min_Cash_Pct</f>
        <v>25.9703410779018</v>
      </c>
      <c r="O208" s="274">
        <f>-(SUM(O39:O41)+O43)*Num_Periods*Seller_Min_Cash_Pct</f>
        <v>25.972175581368</v>
      </c>
      <c r="P208" s="274">
        <f>-(SUM(P39:P41)+P43)*Num_Periods*Seller_Min_Cash_Pct</f>
        <v>26.5082441340547</v>
      </c>
      <c r="Q208" s="274">
        <f>-(SUM(Q39:Q41)+Q43)*Num_Periods*Seller_Min_Cash_Pct</f>
        <v>30.9338669924096</v>
      </c>
      <c r="R208" s="274">
        <f>-(SUM(R39:R41)+R43)*Num_Periods*Seller_Min_Cash_Pct</f>
        <v>30.6427197234005</v>
      </c>
      <c r="S208" s="274">
        <f>-(SUM(S39:S41)+S43)*Num_Periods*Seller_Min_Cash_Pct</f>
        <v>30.7827625041224</v>
      </c>
      <c r="T208" s="274">
        <f>-(SUM(T39:T41)+T43)*Num_Periods*Seller_Min_Cash_Pct</f>
        <v>31.3940673918672</v>
      </c>
      <c r="U208" s="274">
        <f>-(SUM(U39:U41)+U43)*Num_Periods*Seller_Min_Cash_Pct</f>
        <v>36.297246912579</v>
      </c>
    </row>
    <row r="209" outlineLevel="1" spans="3:21">
      <c r="C209" s="11" t="s">
        <v>504</v>
      </c>
      <c r="D209" s="181" t="s">
        <v>48</v>
      </c>
      <c r="K209" s="274">
        <f t="shared" ref="K209:U209" si="227">+J178+K158+K166+K170+K172+K173</f>
        <v>-37.464104779814</v>
      </c>
      <c r="L209" s="274">
        <f t="shared" si="227"/>
        <v>-46.9515773095958</v>
      </c>
      <c r="M209" s="274">
        <f t="shared" si="227"/>
        <v>-13.3818146884857</v>
      </c>
      <c r="N209" s="274">
        <f t="shared" si="227"/>
        <v>-27.214063377357</v>
      </c>
      <c r="O209" s="274">
        <f t="shared" si="227"/>
        <v>-43.5240466506472</v>
      </c>
      <c r="P209" s="274">
        <f t="shared" si="227"/>
        <v>-45.8990299782787</v>
      </c>
      <c r="Q209" s="274">
        <f t="shared" si="227"/>
        <v>-1.44179778394621</v>
      </c>
      <c r="R209" s="274">
        <f t="shared" si="227"/>
        <v>-21.4523106748516</v>
      </c>
      <c r="S209" s="274">
        <f t="shared" si="227"/>
        <v>-42.7954863470249</v>
      </c>
      <c r="T209" s="274">
        <f t="shared" si="227"/>
        <v>-44.7831544128927</v>
      </c>
      <c r="U209" s="274">
        <f t="shared" si="227"/>
        <v>5.38433692791214</v>
      </c>
    </row>
    <row r="210" outlineLevel="1" spans="3:21">
      <c r="C210" s="11" t="s">
        <v>505</v>
      </c>
      <c r="D210" s="181" t="s">
        <v>48</v>
      </c>
      <c r="K210" s="274">
        <f t="shared" ref="K210:U210" si="228">MAX(K208-K209,0)</f>
        <v>59.2366526236725</v>
      </c>
      <c r="L210" s="274">
        <f t="shared" si="228"/>
        <v>69.2494386835787</v>
      </c>
      <c r="M210" s="274">
        <f t="shared" si="228"/>
        <v>39.609026711127</v>
      </c>
      <c r="N210" s="274">
        <f t="shared" si="228"/>
        <v>53.1844044552588</v>
      </c>
      <c r="O210" s="274">
        <f t="shared" si="228"/>
        <v>69.4962222320152</v>
      </c>
      <c r="P210" s="274">
        <f t="shared" si="228"/>
        <v>72.4072741123334</v>
      </c>
      <c r="Q210" s="274">
        <f t="shared" si="228"/>
        <v>32.3756647763558</v>
      </c>
      <c r="R210" s="274">
        <f t="shared" si="228"/>
        <v>52.0950303982521</v>
      </c>
      <c r="S210" s="274">
        <f t="shared" si="228"/>
        <v>73.5782488511473</v>
      </c>
      <c r="T210" s="274">
        <f t="shared" si="228"/>
        <v>76.1772218047599</v>
      </c>
      <c r="U210" s="274">
        <f t="shared" si="228"/>
        <v>30.9129099846669</v>
      </c>
    </row>
    <row r="211" outlineLevel="1"/>
    <row r="212" outlineLevel="1" spans="3:26">
      <c r="C212" s="11" t="s">
        <v>311</v>
      </c>
      <c r="D212" s="181" t="s">
        <v>48</v>
      </c>
      <c r="K212" s="274">
        <f>+K210*Seller_Pct_Debt</f>
        <v>53.3129873613052</v>
      </c>
      <c r="L212" s="274">
        <f>+L210*Seller_Pct_Debt</f>
        <v>62.3244948152209</v>
      </c>
      <c r="M212" s="274">
        <f>+M210*Seller_Pct_Debt</f>
        <v>35.6481240400143</v>
      </c>
      <c r="N212" s="274">
        <f>+N210*Seller_Pct_Debt</f>
        <v>47.8659640097329</v>
      </c>
      <c r="O212" s="274">
        <f>+O210*Seller_Pct_Debt</f>
        <v>62.5466000088136</v>
      </c>
      <c r="P212" s="274">
        <f>+P210*Seller_Pct_Debt</f>
        <v>65.1665467011001</v>
      </c>
      <c r="Q212" s="274">
        <f>+Q210*Seller_Pct_Debt</f>
        <v>29.1380982987202</v>
      </c>
      <c r="R212" s="274">
        <f>+R210*Seller_Pct_Debt</f>
        <v>46.8855273584268</v>
      </c>
      <c r="S212" s="274">
        <f>+S210*Seller_Pct_Debt</f>
        <v>66.2204239660326</v>
      </c>
      <c r="T212" s="274">
        <f>+T210*Seller_Pct_Debt</f>
        <v>68.5594996242839</v>
      </c>
      <c r="U212" s="274">
        <f>+U210*Seller_Pct_Debt</f>
        <v>27.8216189862002</v>
      </c>
      <c r="W212" s="274">
        <f t="shared" ref="W212:Z212" si="229">SUMIF($F$25:$U$25,W$25,$F212:$U212)</f>
        <v>0</v>
      </c>
      <c r="X212" s="274">
        <f t="shared" si="229"/>
        <v>151.28560621654</v>
      </c>
      <c r="Y212" s="274">
        <f t="shared" si="229"/>
        <v>204.717209018367</v>
      </c>
      <c r="Z212" s="274">
        <f t="shared" si="229"/>
        <v>209.487069934943</v>
      </c>
    </row>
    <row r="213" outlineLevel="1" spans="3:26">
      <c r="C213" s="11" t="s">
        <v>312</v>
      </c>
      <c r="D213" s="181" t="s">
        <v>48</v>
      </c>
      <c r="K213" s="274">
        <f>+K210*Seller_Pct_Equity</f>
        <v>5.92366526236725</v>
      </c>
      <c r="L213" s="274">
        <f>+L210*Seller_Pct_Equity</f>
        <v>6.92494386835787</v>
      </c>
      <c r="M213" s="274">
        <f>+M210*Seller_Pct_Equity</f>
        <v>3.9609026711127</v>
      </c>
      <c r="N213" s="274">
        <f>+N210*Seller_Pct_Equity</f>
        <v>5.31844044552587</v>
      </c>
      <c r="O213" s="274">
        <f>+O210*Seller_Pct_Equity</f>
        <v>6.94962222320151</v>
      </c>
      <c r="P213" s="274">
        <f>+P210*Seller_Pct_Equity</f>
        <v>7.24072741123334</v>
      </c>
      <c r="Q213" s="274">
        <f>+Q210*Seller_Pct_Equity</f>
        <v>3.23756647763558</v>
      </c>
      <c r="R213" s="274">
        <f>+R210*Seller_Pct_Equity</f>
        <v>5.2095030398252</v>
      </c>
      <c r="S213" s="274">
        <f>+S210*Seller_Pct_Equity</f>
        <v>7.35782488511473</v>
      </c>
      <c r="T213" s="274">
        <f>+T210*Seller_Pct_Equity</f>
        <v>7.61772218047598</v>
      </c>
      <c r="U213" s="274">
        <f>+U210*Seller_Pct_Equity</f>
        <v>3.09129099846669</v>
      </c>
      <c r="W213" s="274">
        <f t="shared" ref="W213:Z213" si="230">SUMIF($F$25:$U$25,W$25,$F213:$U213)</f>
        <v>0</v>
      </c>
      <c r="X213" s="274">
        <f t="shared" si="230"/>
        <v>16.8095118018378</v>
      </c>
      <c r="Y213" s="274">
        <f t="shared" si="230"/>
        <v>22.7463565575963</v>
      </c>
      <c r="Z213" s="274">
        <f t="shared" si="230"/>
        <v>23.2763411038826</v>
      </c>
    </row>
    <row r="214" outlineLevel="1"/>
    <row r="215" outlineLevel="1" spans="3:26">
      <c r="C215" s="11" t="s">
        <v>313</v>
      </c>
      <c r="D215" s="9" t="s">
        <v>229</v>
      </c>
      <c r="F215" s="343"/>
      <c r="G215" s="343"/>
      <c r="H215" s="343"/>
      <c r="I215" s="343"/>
      <c r="J215" s="343"/>
      <c r="K215" s="343">
        <f>+K213/Seller_Share_Price</f>
        <v>0.10665583835735</v>
      </c>
      <c r="L215" s="343">
        <f>+L213/Seller_Share_Price</f>
        <v>0.124683901122756</v>
      </c>
      <c r="M215" s="343">
        <f>+M213/Seller_Share_Price</f>
        <v>0.0713162166206824</v>
      </c>
      <c r="N215" s="343">
        <f>+N213/Seller_Share_Price</f>
        <v>0.0957587404667964</v>
      </c>
      <c r="O215" s="343">
        <f>+O213/Seller_Share_Price</f>
        <v>0.125128235923686</v>
      </c>
      <c r="P215" s="343">
        <f>+P213/Seller_Share_Price</f>
        <v>0.130369596889329</v>
      </c>
      <c r="Q215" s="343">
        <f>+Q213/Seller_Share_Price</f>
        <v>0.0582925185026212</v>
      </c>
      <c r="R215" s="343">
        <f>+R213/Seller_Share_Price</f>
        <v>0.0937973179658841</v>
      </c>
      <c r="S215" s="343">
        <f>+S213/Seller_Share_Price</f>
        <v>0.132477941755757</v>
      </c>
      <c r="T215" s="343">
        <f>+T213/Seller_Share_Price</f>
        <v>0.137157403321498</v>
      </c>
      <c r="U215" s="343">
        <f>+U213/Seller_Share_Price</f>
        <v>0.0556588224426843</v>
      </c>
      <c r="W215" s="312">
        <f t="shared" ref="W215:Z215" si="231">SUMIF($F$25:$U$25,W$25,$F215:$U215)</f>
        <v>0</v>
      </c>
      <c r="X215" s="312">
        <f t="shared" si="231"/>
        <v>0.302655956100789</v>
      </c>
      <c r="Y215" s="312">
        <f t="shared" si="231"/>
        <v>0.409549091782433</v>
      </c>
      <c r="Z215" s="312">
        <f t="shared" si="231"/>
        <v>0.419091485485823</v>
      </c>
    </row>
    <row r="217" spans="2:26">
      <c r="B217" s="254"/>
      <c r="C217" s="254"/>
      <c r="D217" s="255"/>
      <c r="E217" s="256"/>
      <c r="F217" s="257" t="str">
        <f>$F$27</f>
        <v>Historical:</v>
      </c>
      <c r="G217" s="257"/>
      <c r="H217" s="257"/>
      <c r="I217" s="257"/>
      <c r="J217" s="296"/>
      <c r="K217" s="297" t="str">
        <f>$K$27</f>
        <v>Projected:</v>
      </c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W217" s="257" t="str">
        <f>$W$27</f>
        <v>Historical:</v>
      </c>
      <c r="X217" s="297" t="str">
        <f>$X$27</f>
        <v>Projected:</v>
      </c>
      <c r="Y217" s="257"/>
      <c r="Z217" s="257"/>
    </row>
    <row r="218" spans="2:26">
      <c r="B218" s="173" t="s">
        <v>314</v>
      </c>
      <c r="C218" s="173"/>
      <c r="D218" s="174" t="str">
        <f>+$D$5</f>
        <v>Units:</v>
      </c>
      <c r="E218" s="175"/>
      <c r="F218" s="258">
        <f>$F$28</f>
        <v>42460</v>
      </c>
      <c r="G218" s="259">
        <f>$G$28</f>
        <v>42551</v>
      </c>
      <c r="H218" s="260">
        <f>$H$28</f>
        <v>42643</v>
      </c>
      <c r="I218" s="298">
        <f>$I$28</f>
        <v>42735</v>
      </c>
      <c r="J218" s="258">
        <f>$J$28</f>
        <v>42825</v>
      </c>
      <c r="K218" s="299">
        <f>$K$28</f>
        <v>42916</v>
      </c>
      <c r="L218" s="260">
        <f>$L$28</f>
        <v>43008</v>
      </c>
      <c r="M218" s="298">
        <f>$M$28</f>
        <v>43100</v>
      </c>
      <c r="N218" s="258">
        <f>$N$28</f>
        <v>43190</v>
      </c>
      <c r="O218" s="259">
        <f>$O$28</f>
        <v>43281</v>
      </c>
      <c r="P218" s="260">
        <f>$P$28</f>
        <v>43373</v>
      </c>
      <c r="Q218" s="298">
        <f>$Q$28</f>
        <v>43465</v>
      </c>
      <c r="R218" s="258">
        <f>$R$28</f>
        <v>43555</v>
      </c>
      <c r="S218" s="259">
        <f>$S$28</f>
        <v>43646</v>
      </c>
      <c r="T218" s="260">
        <f>$T$28</f>
        <v>43738</v>
      </c>
      <c r="U218" s="298">
        <f>$U$28</f>
        <v>43830</v>
      </c>
      <c r="W218" s="313">
        <f>$W$28</f>
        <v>42735</v>
      </c>
      <c r="X218" s="314">
        <f>$X$28</f>
        <v>43100</v>
      </c>
      <c r="Y218" s="176">
        <f>$Y$28</f>
        <v>43465</v>
      </c>
      <c r="Z218" s="176">
        <f>$Z$28</f>
        <v>43830</v>
      </c>
    </row>
    <row r="219" outlineLevel="1"/>
    <row r="220" outlineLevel="1" spans="3:26">
      <c r="C220" s="11" t="s">
        <v>315</v>
      </c>
      <c r="D220" s="181" t="s">
        <v>48</v>
      </c>
      <c r="F220" s="324">
        <f>(+F36+SUM(F39:F41)+F43)*Num_Periods</f>
        <v>299.816</v>
      </c>
      <c r="G220" s="324">
        <f>(+G36+SUM(G39:G41)+G43)*Num_Periods</f>
        <v>305.192</v>
      </c>
      <c r="H220" s="324">
        <f>(+H36+SUM(H39:H41)+H43)*Num_Periods</f>
        <v>335.492</v>
      </c>
      <c r="I220" s="324">
        <f>(+I36+SUM(I39:I41)+I43)*Num_Periods</f>
        <v>338.032</v>
      </c>
      <c r="J220" s="324">
        <f>(+J36+SUM(J39:J41)+J43)*Num_Periods</f>
        <v>339.064</v>
      </c>
      <c r="K220" s="324">
        <f>(+K36+SUM(K39:K41)+K43)*Num_Periods</f>
        <v>332.212091161415</v>
      </c>
      <c r="L220" s="324">
        <f>(+L36+SUM(L39:L41)+L43)*Num_Periods</f>
        <v>365.110466260171</v>
      </c>
      <c r="M220" s="324">
        <f>(+M36+SUM(M39:M41)+M43)*Num_Periods</f>
        <v>392.438219773586</v>
      </c>
      <c r="N220" s="324">
        <f>(+N36+SUM(N39:N41)+N43)*Num_Periods</f>
        <v>403.751989220982</v>
      </c>
      <c r="O220" s="324">
        <f>(+O36+SUM(O39:O41)+O43)*Num_Periods</f>
        <v>400.86989674312</v>
      </c>
      <c r="P220" s="324">
        <f>(+P36+SUM(P39:P41)+P43)*Num_Periods</f>
        <v>434.613611439453</v>
      </c>
      <c r="Q220" s="324">
        <f>(+Q36+SUM(Q39:Q41)+Q43)*Num_Periods</f>
        <v>467.172210775904</v>
      </c>
      <c r="R220" s="324">
        <f>(+R36+SUM(R39:R41)+R43)*Num_Periods</f>
        <v>478.168127725995</v>
      </c>
      <c r="S220" s="324">
        <f>(+S36+SUM(S39:S41)+S43)*Num_Periods</f>
        <v>479.814210267473</v>
      </c>
      <c r="T220" s="324">
        <f>(+T36+SUM(T39:T41)+T43)*Num_Periods</f>
        <v>515.377904597548</v>
      </c>
      <c r="U220" s="324">
        <f>(+U36+SUM(U39:U41)+U43)*Num_Periods</f>
        <v>552.79565109751</v>
      </c>
      <c r="W220" s="324">
        <f t="shared" ref="W220:Z220" si="232">+W36+SUM(W39:W41)+W43</f>
        <v>319.633</v>
      </c>
      <c r="X220" s="324">
        <f t="shared" si="232"/>
        <v>357.206194298793</v>
      </c>
      <c r="Y220" s="324">
        <f t="shared" si="232"/>
        <v>426.601927044865</v>
      </c>
      <c r="Z220" s="324">
        <f t="shared" si="232"/>
        <v>506.538973422132</v>
      </c>
    </row>
    <row r="221" outlineLevel="1" spans="3:26">
      <c r="C221" s="344" t="s">
        <v>316</v>
      </c>
      <c r="D221" s="736" t="s">
        <v>56</v>
      </c>
      <c r="F221" s="345"/>
      <c r="G221" s="345"/>
      <c r="H221" s="345"/>
      <c r="I221" s="345"/>
      <c r="J221" s="345">
        <f t="shared" ref="J221:U221" si="233">+J220/F220-1</f>
        <v>0.13090695626651</v>
      </c>
      <c r="K221" s="345">
        <f t="shared" si="233"/>
        <v>0.0885347294864052</v>
      </c>
      <c r="L221" s="345">
        <f t="shared" si="233"/>
        <v>0.0882836737095694</v>
      </c>
      <c r="M221" s="345">
        <f t="shared" si="233"/>
        <v>0.160949909397887</v>
      </c>
      <c r="N221" s="345">
        <f t="shared" si="233"/>
        <v>0.190784008980554</v>
      </c>
      <c r="O221" s="345">
        <f t="shared" si="233"/>
        <v>0.206668593372616</v>
      </c>
      <c r="P221" s="345">
        <f t="shared" si="233"/>
        <v>0.190361963301691</v>
      </c>
      <c r="Q221" s="345">
        <f t="shared" si="233"/>
        <v>0.190435047446283</v>
      </c>
      <c r="R221" s="345">
        <f t="shared" si="233"/>
        <v>0.184311509272301</v>
      </c>
      <c r="S221" s="345">
        <f t="shared" si="233"/>
        <v>0.196932506445953</v>
      </c>
      <c r="T221" s="345">
        <f t="shared" si="233"/>
        <v>0.185830105252806</v>
      </c>
      <c r="U221" s="345">
        <f t="shared" si="233"/>
        <v>0.183280251578744</v>
      </c>
      <c r="X221" s="345">
        <f t="shared" ref="X221:Z221" si="234">+X220/W220-1</f>
        <v>0.117551048542526</v>
      </c>
      <c r="Y221" s="345">
        <f t="shared" si="234"/>
        <v>0.194273598424848</v>
      </c>
      <c r="Z221" s="345">
        <f t="shared" si="234"/>
        <v>0.187380884402005</v>
      </c>
    </row>
    <row r="222" outlineLevel="1" spans="3:26">
      <c r="C222" s="344" t="s">
        <v>317</v>
      </c>
      <c r="D222" s="736" t="s">
        <v>56</v>
      </c>
      <c r="F222" s="345">
        <f>+F220/(F36*Num_Periods)</f>
        <v>0.603742277424707</v>
      </c>
      <c r="G222" s="345">
        <f>+G220/(G36*Num_Periods)</f>
        <v>0.593583220526226</v>
      </c>
      <c r="H222" s="345">
        <f>+H220/(H36*Num_Periods)</f>
        <v>0.624398850557599</v>
      </c>
      <c r="I222" s="345">
        <f>+I220/(I36*Num_Periods)</f>
        <v>0.596437242391734</v>
      </c>
      <c r="J222" s="345">
        <f>+J220/(J36*Num_Periods)</f>
        <v>0.607711278712971</v>
      </c>
      <c r="K222" s="345">
        <f>+K220/(K36*Num_Periods)</f>
        <v>0.604090554138811</v>
      </c>
      <c r="L222" s="345">
        <f>+L220/(L36*Num_Periods)</f>
        <v>0.620842111640928</v>
      </c>
      <c r="M222" s="345">
        <f>+M220/(M36*Num_Periods)</f>
        <v>0.599407395602743</v>
      </c>
      <c r="N222" s="345">
        <f>+N220/(N36*Num_Periods)</f>
        <v>0.608559353380773</v>
      </c>
      <c r="O222" s="345">
        <f>+O220/(O36*Num_Periods)</f>
        <v>0.606834638602479</v>
      </c>
      <c r="P222" s="345">
        <f>+P220/(P36*Num_Periods)</f>
        <v>0.621146295899007</v>
      </c>
      <c r="Q222" s="345">
        <f>+Q220/(Q36*Num_Periods)</f>
        <v>0.60162996087674</v>
      </c>
      <c r="R222" s="345">
        <f>+R220/(R36*Num_Periods)</f>
        <v>0.609445547933099</v>
      </c>
      <c r="S222" s="345">
        <f>+S220/(S36*Num_Periods)</f>
        <v>0.609178167992335</v>
      </c>
      <c r="T222" s="345">
        <f>+T220/(T36*Num_Periods)</f>
        <v>0.621447436423816</v>
      </c>
      <c r="U222" s="345">
        <f>+U220/(U36*Num_Periods)</f>
        <v>0.603641510214089</v>
      </c>
      <c r="W222" s="345">
        <f t="shared" ref="W222:Z222" si="235">+W220/W36</f>
        <v>0.604562881477432</v>
      </c>
      <c r="X222" s="345">
        <f t="shared" si="235"/>
        <v>0.607836472157834</v>
      </c>
      <c r="Y222" s="345">
        <f t="shared" si="235"/>
        <v>0.609376048275728</v>
      </c>
      <c r="Z222" s="345">
        <f t="shared" si="235"/>
        <v>0.610780249322503</v>
      </c>
    </row>
    <row r="223" outlineLevel="1" spans="24:26">
      <c r="X223" s="197"/>
      <c r="Y223" s="197"/>
      <c r="Z223" s="197"/>
    </row>
    <row r="224" outlineLevel="1" spans="3:26">
      <c r="C224" s="11" t="s">
        <v>318</v>
      </c>
      <c r="D224" s="181" t="s">
        <v>48</v>
      </c>
      <c r="F224" s="289">
        <f>(+F36+SUM(F39:F40)+F43)*Num_Periods</f>
        <v>322.116</v>
      </c>
      <c r="G224" s="289">
        <f>(+G36+SUM(G39:G40)+G43)*Num_Periods</f>
        <v>326.288</v>
      </c>
      <c r="H224" s="289">
        <f>(+H36+SUM(H39:H40)+H43)*Num_Periods</f>
        <v>357.428</v>
      </c>
      <c r="I224" s="289">
        <f>(+I36+SUM(I39:I40)+I43)*Num_Periods</f>
        <v>364.872</v>
      </c>
      <c r="J224" s="289">
        <f>(+J36+SUM(J39:J40)+J43)*Num_Periods</f>
        <v>366.312</v>
      </c>
      <c r="K224" s="289">
        <f>(+K36+SUM(K39:K40)+K43)*Num_Periods</f>
        <v>354.776396985921</v>
      </c>
      <c r="L224" s="289">
        <f>(+L36+SUM(L39:L40)+L43)*Num_Periods</f>
        <v>389.119820478416</v>
      </c>
      <c r="M224" s="289">
        <f>(+M36+SUM(M39:M40)+M43)*Num_Periods</f>
        <v>423.443713403252</v>
      </c>
      <c r="N224" s="289">
        <f>(+N36+SUM(N39:N40)+N43)*Num_Periods</f>
        <v>436.153255207045</v>
      </c>
      <c r="O224" s="289">
        <f>(+O36+SUM(O39:O40)+O43)*Num_Periods</f>
        <v>427.974413505358</v>
      </c>
      <c r="P224" s="289">
        <f>(+P36+SUM(P39:P40)+P43)*Num_Periods</f>
        <v>463.179437515161</v>
      </c>
      <c r="Q224" s="289">
        <f>(+Q36+SUM(Q39:Q40)+Q43)*Num_Periods</f>
        <v>503.945882572365</v>
      </c>
      <c r="R224" s="289">
        <f>(+R36+SUM(R39:R40)+R43)*Num_Periods</f>
        <v>516.485521503257</v>
      </c>
      <c r="S224" s="289">
        <f>(+S36+SUM(S39:S40)+S43)*Num_Periods</f>
        <v>512.131680894199</v>
      </c>
      <c r="T224" s="289">
        <f>(+T36+SUM(T39:T40)+T43)*Num_Periods</f>
        <v>549.23570639752</v>
      </c>
      <c r="U224" s="289">
        <f>(+U36+SUM(U39:U40)+U43)*Num_Periods</f>
        <v>596.164207973874</v>
      </c>
      <c r="W224" s="289">
        <f t="shared" ref="W224:Z224" si="236">+W36+SUM(W39:W40)+W43</f>
        <v>342.676</v>
      </c>
      <c r="X224" s="289">
        <f t="shared" si="236"/>
        <v>383.412982716897</v>
      </c>
      <c r="Y224" s="289">
        <f t="shared" si="236"/>
        <v>457.813247199983</v>
      </c>
      <c r="Z224" s="289">
        <f t="shared" si="236"/>
        <v>543.504279192212</v>
      </c>
    </row>
    <row r="225" outlineLevel="1" spans="3:26">
      <c r="C225" s="344" t="s">
        <v>319</v>
      </c>
      <c r="D225" s="736" t="s">
        <v>56</v>
      </c>
      <c r="F225" s="345"/>
      <c r="G225" s="345"/>
      <c r="H225" s="345"/>
      <c r="I225" s="345"/>
      <c r="J225" s="345">
        <f t="shared" ref="J225:U225" si="237">+J224/F224-1</f>
        <v>0.137205230413888</v>
      </c>
      <c r="K225" s="345">
        <f t="shared" si="237"/>
        <v>0.0873105875359232</v>
      </c>
      <c r="L225" s="345">
        <f t="shared" si="237"/>
        <v>0.0886663061607262</v>
      </c>
      <c r="M225" s="345">
        <f t="shared" si="237"/>
        <v>0.160526741989661</v>
      </c>
      <c r="N225" s="345">
        <f t="shared" si="237"/>
        <v>0.190660571335488</v>
      </c>
      <c r="O225" s="345">
        <f t="shared" si="237"/>
        <v>0.206321551098964</v>
      </c>
      <c r="P225" s="345">
        <f t="shared" si="237"/>
        <v>0.190325995077016</v>
      </c>
      <c r="Q225" s="345">
        <f t="shared" si="237"/>
        <v>0.190113034202613</v>
      </c>
      <c r="R225" s="345">
        <f t="shared" si="237"/>
        <v>0.184183576156223</v>
      </c>
      <c r="S225" s="345">
        <f t="shared" si="237"/>
        <v>0.196640884906048</v>
      </c>
      <c r="T225" s="345">
        <f t="shared" si="237"/>
        <v>0.185794665980919</v>
      </c>
      <c r="U225" s="345">
        <f t="shared" si="237"/>
        <v>0.182992516836898</v>
      </c>
      <c r="X225" s="345">
        <f t="shared" ref="X225:Z225" si="238">+X224/W224-1</f>
        <v>0.118879007333158</v>
      </c>
      <c r="Y225" s="345">
        <f t="shared" si="238"/>
        <v>0.194047327129819</v>
      </c>
      <c r="Z225" s="345">
        <f t="shared" si="238"/>
        <v>0.187174644937258</v>
      </c>
    </row>
    <row r="226" outlineLevel="1"/>
    <row r="227" outlineLevel="1" spans="3:25">
      <c r="C227" s="346" t="s">
        <v>320</v>
      </c>
      <c r="D227" s="736" t="s">
        <v>56</v>
      </c>
      <c r="F227" s="345">
        <f t="shared" ref="F227:T227" si="239">+G224/F108</f>
        <v>0.101693763664725</v>
      </c>
      <c r="G227" s="345">
        <f t="shared" si="239"/>
        <v>0.112605433306355</v>
      </c>
      <c r="H227" s="345">
        <f t="shared" si="239"/>
        <v>0.109644366194009</v>
      </c>
      <c r="I227" s="345">
        <f t="shared" si="239"/>
        <v>0.106016553437481</v>
      </c>
      <c r="J227" s="345">
        <f t="shared" si="239"/>
        <v>0.0981001636639479</v>
      </c>
      <c r="K227" s="345">
        <f t="shared" si="239"/>
        <v>0.104985579121854</v>
      </c>
      <c r="L227" s="345">
        <f t="shared" si="239"/>
        <v>0.11154459559931</v>
      </c>
      <c r="M227" s="345">
        <f t="shared" si="239"/>
        <v>0.112093600940606</v>
      </c>
      <c r="N227" s="345">
        <f t="shared" si="239"/>
        <v>0.107294787739169</v>
      </c>
      <c r="O227" s="345">
        <f t="shared" si="239"/>
        <v>0.113411171230096</v>
      </c>
      <c r="P227" s="345">
        <f t="shared" si="239"/>
        <v>0.120585725617379</v>
      </c>
      <c r="Q227" s="345">
        <f t="shared" si="239"/>
        <v>0.120695464920509</v>
      </c>
      <c r="R227" s="345">
        <f t="shared" si="239"/>
        <v>0.116847904683622</v>
      </c>
      <c r="S227" s="345">
        <f t="shared" si="239"/>
        <v>0.122362225556326</v>
      </c>
      <c r="T227" s="345">
        <f t="shared" si="239"/>
        <v>0.129769064473368</v>
      </c>
      <c r="U227" s="345"/>
      <c r="W227" s="345">
        <f t="shared" ref="W227:Y227" si="240">+X224/W108</f>
        <v>0.110965851434924</v>
      </c>
      <c r="X227" s="345">
        <f t="shared" si="240"/>
        <v>0.117660328850685</v>
      </c>
      <c r="Y227" s="345">
        <f t="shared" si="240"/>
        <v>0.127009371864796</v>
      </c>
    </row>
    <row r="228" outlineLevel="1"/>
    <row r="229" outlineLevel="1" spans="3:26">
      <c r="C229" s="11" t="s">
        <v>321</v>
      </c>
      <c r="D229" s="279" t="s">
        <v>65</v>
      </c>
      <c r="F229" s="233"/>
      <c r="G229" s="233"/>
      <c r="H229" s="233"/>
      <c r="I229" s="233"/>
      <c r="J229" s="233"/>
      <c r="K229" s="233">
        <f t="shared" ref="K229:U229" si="241">-K172/K61</f>
        <v>0.522695167099669</v>
      </c>
      <c r="L229" s="233">
        <f t="shared" si="241"/>
        <v>0.513960850515938</v>
      </c>
      <c r="M229" s="233">
        <f t="shared" si="241"/>
        <v>0.567792437943697</v>
      </c>
      <c r="N229" s="233">
        <f t="shared" si="241"/>
        <v>0.592376567242508</v>
      </c>
      <c r="O229" s="233">
        <f t="shared" si="241"/>
        <v>0.66678944204929</v>
      </c>
      <c r="P229" s="233">
        <f t="shared" si="241"/>
        <v>0.588159984477143</v>
      </c>
      <c r="Q229" s="233">
        <f t="shared" si="241"/>
        <v>0.685661438264724</v>
      </c>
      <c r="R229" s="233">
        <f t="shared" si="241"/>
        <v>0.68650540469845</v>
      </c>
      <c r="S229" s="233">
        <f t="shared" si="241"/>
        <v>0.793928542540067</v>
      </c>
      <c r="T229" s="233">
        <f t="shared" si="241"/>
        <v>0.733828623925691</v>
      </c>
      <c r="U229" s="233">
        <f t="shared" si="241"/>
        <v>0.780535672209365</v>
      </c>
      <c r="X229" s="233">
        <f t="shared" ref="X229:Z229" si="242">-X172/X61</f>
        <v>2.09267303807</v>
      </c>
      <c r="Y229" s="233">
        <f t="shared" si="242"/>
        <v>2.5331040814321</v>
      </c>
      <c r="Z229" s="233">
        <f t="shared" si="242"/>
        <v>2.99495513973174</v>
      </c>
    </row>
    <row r="230" outlineLevel="1" spans="3:26">
      <c r="C230" s="344" t="s">
        <v>322</v>
      </c>
      <c r="D230" s="736" t="s">
        <v>56</v>
      </c>
      <c r="K230" s="345">
        <f>+K229*Num_Periods/Seller_Share_Price</f>
        <v>0.0376445925170809</v>
      </c>
      <c r="L230" s="345">
        <f>+L229*Num_Periods/Seller_Share_Price</f>
        <v>0.0370155455899127</v>
      </c>
      <c r="M230" s="345">
        <f>+M229*Num_Periods/Seller_Share_Price</f>
        <v>0.0408925054334676</v>
      </c>
      <c r="N230" s="345">
        <f>+N229*Num_Periods/Seller_Share_Price</f>
        <v>0.04266305849784</v>
      </c>
      <c r="O230" s="345">
        <f>+O229*Num_Periods/Seller_Share_Price</f>
        <v>0.0480222860676479</v>
      </c>
      <c r="P230" s="345">
        <f>+P229*Num_Periods/Seller_Share_Price</f>
        <v>0.0423593795086167</v>
      </c>
      <c r="Q230" s="345">
        <f>+Q229*Num_Periods/Seller_Share_Price</f>
        <v>0.0493814503611612</v>
      </c>
      <c r="R230" s="345">
        <f>+R229*Num_Periods/Seller_Share_Price</f>
        <v>0.0494422329635182</v>
      </c>
      <c r="S230" s="345">
        <f>+S229*Num_Periods/Seller_Share_Price</f>
        <v>0.0571788651451255</v>
      </c>
      <c r="T230" s="345">
        <f>+T229*Num_Periods/Seller_Share_Price</f>
        <v>0.0528504590511841</v>
      </c>
      <c r="U230" s="345">
        <f>+U229*Num_Periods/Seller_Share_Price</f>
        <v>0.0562143084054278</v>
      </c>
      <c r="X230" s="345">
        <f>+X229/Seller_Share_Price</f>
        <v>0.0376786647113792</v>
      </c>
      <c r="Y230" s="345">
        <f>+Y229/Seller_Share_Price</f>
        <v>0.0456086438860659</v>
      </c>
      <c r="Z230" s="345">
        <f>+Z229/Seller_Share_Price</f>
        <v>0.0539242913167401</v>
      </c>
    </row>
    <row r="231" outlineLevel="1"/>
    <row r="232" outlineLevel="1" spans="3:26">
      <c r="C232" s="11" t="s">
        <v>506</v>
      </c>
      <c r="D232" s="279" t="s">
        <v>58</v>
      </c>
      <c r="F232" s="347"/>
      <c r="G232" s="347"/>
      <c r="H232" s="347"/>
      <c r="I232" s="347"/>
      <c r="J232" s="351">
        <f>Seller_Ent_Value/J220</f>
        <v>19.4584237171449</v>
      </c>
      <c r="K232" s="351">
        <f>Seller_Ent_Value/K220</f>
        <v>19.8597557246173</v>
      </c>
      <c r="L232" s="351">
        <f>Seller_Ent_Value/L220</f>
        <v>18.0702871840673</v>
      </c>
      <c r="M232" s="351">
        <f>Seller_Ent_Value/M220</f>
        <v>16.8119480896546</v>
      </c>
      <c r="N232" s="351">
        <f>Seller_Ent_Value/N220</f>
        <v>16.3408507087725</v>
      </c>
      <c r="O232" s="351">
        <f>Seller_Ent_Value/O220</f>
        <v>16.4583348184357</v>
      </c>
      <c r="P232" s="351">
        <f>Seller_Ent_Value/P220</f>
        <v>15.1804978159299</v>
      </c>
      <c r="Q232" s="351">
        <f>Seller_Ent_Value/Q220</f>
        <v>14.1225244718051</v>
      </c>
      <c r="R232" s="351">
        <f>Seller_Ent_Value/R220</f>
        <v>13.7977640011395</v>
      </c>
      <c r="S232" s="351">
        <f>Seller_Ent_Value/S220</f>
        <v>13.7504284742883</v>
      </c>
      <c r="T232" s="351">
        <f>Seller_Ent_Value/T220</f>
        <v>12.8015790362259</v>
      </c>
      <c r="U232" s="351">
        <f>Seller_Ent_Value/U220</f>
        <v>11.9350631035739</v>
      </c>
      <c r="W232" s="351">
        <f>Seller_Ent_Value/W220</f>
        <v>20.641332338119</v>
      </c>
      <c r="X232" s="351">
        <f>Seller_Ent_Value/X220</f>
        <v>18.4701471713877</v>
      </c>
      <c r="Y232" s="351">
        <f>Seller_Ent_Value/Y220</f>
        <v>15.4655911306658</v>
      </c>
      <c r="Z232" s="351">
        <f>Seller_Ent_Value/Z220</f>
        <v>13.0249621952223</v>
      </c>
    </row>
    <row r="233" outlineLevel="1" spans="3:26">
      <c r="C233" s="11" t="s">
        <v>507</v>
      </c>
      <c r="D233" s="279" t="s">
        <v>58</v>
      </c>
      <c r="F233" s="347"/>
      <c r="G233" s="347"/>
      <c r="H233" s="347"/>
      <c r="I233" s="347"/>
      <c r="J233" s="351">
        <f>Seller_Eq_Value/(J195*Num_Periods)</f>
        <v>18.2518891117195</v>
      </c>
      <c r="K233" s="351">
        <f>Seller_Eq_Value/(K195*Num_Periods)</f>
        <v>19.0283052182139</v>
      </c>
      <c r="L233" s="351">
        <f>Seller_Eq_Value/(L195*Num_Periods)</f>
        <v>17.1308627620787</v>
      </c>
      <c r="M233" s="351">
        <f>Seller_Eq_Value/(M195*Num_Periods)</f>
        <v>15.8624373046344</v>
      </c>
      <c r="N233" s="351">
        <f>Seller_Eq_Value/(N195*Num_Periods)</f>
        <v>15.3889618992204</v>
      </c>
      <c r="O233" s="351">
        <f>Seller_Eq_Value/(O195*Num_Periods)</f>
        <v>15.6990807565392</v>
      </c>
      <c r="P233" s="351">
        <f>Seller_Eq_Value/(P195*Num_Periods)</f>
        <v>14.3127350494075</v>
      </c>
      <c r="Q233" s="351">
        <f>Seller_Eq_Value/(Q195*Num_Periods)</f>
        <v>13.2467454722954</v>
      </c>
      <c r="R233" s="351">
        <f>Seller_Eq_Value/(R195*Num_Periods)</f>
        <v>12.9781617829587</v>
      </c>
      <c r="S233" s="351">
        <f>Seller_Eq_Value/(S195*Num_Periods)</f>
        <v>12.9931714900346</v>
      </c>
      <c r="T233" s="351">
        <f>Seller_Eq_Value/(T195*Num_Periods)</f>
        <v>12.0390967798329</v>
      </c>
      <c r="U233" s="351">
        <f>Seller_Eq_Value/(U195*Num_Periods)</f>
        <v>11.1193608924254</v>
      </c>
      <c r="W233" s="351">
        <f>Seller_Eq_Value/W195</f>
        <v>21.6622525067674</v>
      </c>
      <c r="X233" s="351">
        <f>Seller_Eq_Value/X195</f>
        <v>17.4857022474046</v>
      </c>
      <c r="Y233" s="351">
        <f>Seller_Eq_Value/Y195</f>
        <v>14.5965303619337</v>
      </c>
      <c r="Z233" s="351">
        <f>Seller_Eq_Value/Z195</f>
        <v>12.2319687395532</v>
      </c>
    </row>
    <row r="234" outlineLevel="1" spans="3:26">
      <c r="C234" s="11" t="s">
        <v>508</v>
      </c>
      <c r="D234" s="279" t="s">
        <v>58</v>
      </c>
      <c r="J234" s="351">
        <f>Seller_Eq_Value/(J203*Num_Periods)</f>
        <v>17.9424600736804</v>
      </c>
      <c r="K234" s="351">
        <f>Seller_Eq_Value/(K203*Num_Periods)</f>
        <v>20.1247290781179</v>
      </c>
      <c r="L234" s="351">
        <f>Seller_Eq_Value/(L203*Num_Periods)</f>
        <v>17.2902787051789</v>
      </c>
      <c r="M234" s="351">
        <f>Seller_Eq_Value/(M203*Num_Periods)</f>
        <v>16.2053008888029</v>
      </c>
      <c r="N234" s="351">
        <f>Seller_Eq_Value/(N203*Num_Periods)</f>
        <v>16.0580508465555</v>
      </c>
      <c r="O234" s="351">
        <f>Seller_Eq_Value/(O203*Num_Periods)</f>
        <v>15.6916146153133</v>
      </c>
      <c r="P234" s="351">
        <f>Seller_Eq_Value/(P203*Num_Periods)</f>
        <v>15.0274936310819</v>
      </c>
      <c r="Q234" s="351">
        <f>Seller_Eq_Value/(Q203*Num_Periods)</f>
        <v>13.3493858932263</v>
      </c>
      <c r="R234" s="351">
        <f>Seller_Eq_Value/(R203*Num_Periods)</f>
        <v>13.7842991662937</v>
      </c>
      <c r="S234" s="351">
        <f>Seller_Eq_Value/(S203*Num_Periods)</f>
        <v>13.1091906061007</v>
      </c>
      <c r="T234" s="351">
        <f>Seller_Eq_Value/(T203*Num_Periods)</f>
        <v>11.9799414507184</v>
      </c>
      <c r="U234" s="351">
        <f>Seller_Eq_Value/(U203*Num_Periods)</f>
        <v>11.6643843761115</v>
      </c>
      <c r="W234" s="351">
        <f>Seller_Eq_Value/W203</f>
        <v>22.4773305850753</v>
      </c>
      <c r="X234" s="351">
        <f>Seller_Eq_Value/X203</f>
        <v>17.7803066737553</v>
      </c>
      <c r="Y234" s="351">
        <f>Seller_Eq_Value/Y203</f>
        <v>14.9556822339399</v>
      </c>
      <c r="Z234" s="351">
        <f>Seller_Eq_Value/Z203</f>
        <v>12.5773275252854</v>
      </c>
    </row>
    <row r="235" outlineLevel="1"/>
    <row r="236" outlineLevel="1" spans="3:26">
      <c r="C236" s="11" t="s">
        <v>323</v>
      </c>
      <c r="D236" s="279" t="s">
        <v>58</v>
      </c>
      <c r="F236" s="348">
        <f>-F220/(F49*Num_Periods)</f>
        <v>6.03786048010311</v>
      </c>
      <c r="G236" s="348">
        <f>-G220/(G49*Num_Periods)</f>
        <v>6.11264220477487</v>
      </c>
      <c r="H236" s="348">
        <f>-H220/(H49*Num_Periods)</f>
        <v>6.01197046806681</v>
      </c>
      <c r="I236" s="348">
        <f>-I220/(I49*Num_Periods)</f>
        <v>6.42206854624211</v>
      </c>
      <c r="J236" s="348">
        <f>-J220/(J49*Num_Periods)</f>
        <v>6.90052100293064</v>
      </c>
      <c r="K236" s="348">
        <f>-K220/(K49*Num_Periods)</f>
        <v>6.20990585552275</v>
      </c>
      <c r="L236" s="348">
        <f>-L220/(L49*Num_Periods)</f>
        <v>6.40722871592907</v>
      </c>
      <c r="M236" s="348">
        <f>-M220/(M49*Num_Periods)</f>
        <v>6.43993156950764</v>
      </c>
      <c r="N236" s="348">
        <f>-N220/(N49*Num_Periods)</f>
        <v>6.47410038446301</v>
      </c>
      <c r="O236" s="348">
        <f>-O220/(O49*Num_Periods)</f>
        <v>6.08431463267776</v>
      </c>
      <c r="P236" s="348">
        <f>-P220/(P49*Num_Periods)</f>
        <v>6.34933990216792</v>
      </c>
      <c r="Q236" s="348">
        <f>-Q220/(Q49*Num_Periods)</f>
        <v>6.41220515706607</v>
      </c>
      <c r="R236" s="348">
        <f>-R220/(R49*Num_Periods)</f>
        <v>6.30459886641249</v>
      </c>
      <c r="S236" s="348">
        <f>-S220/(S49*Num_Periods)</f>
        <v>6.16249227235082</v>
      </c>
      <c r="T236" s="348">
        <f>-T220/(T49*Num_Periods)</f>
        <v>6.24058869184423</v>
      </c>
      <c r="U236" s="348">
        <f>-U220/(U49*Num_Periods)</f>
        <v>6.45778450639185</v>
      </c>
      <c r="W236" s="348">
        <f t="shared" ref="W236:Z236" si="243">-W220/W49</f>
        <v>6.14607929854248</v>
      </c>
      <c r="X236" s="348">
        <f t="shared" si="243"/>
        <v>6.47829952396577</v>
      </c>
      <c r="Y236" s="348">
        <f t="shared" si="243"/>
        <v>6.33041752082693</v>
      </c>
      <c r="Z236" s="348">
        <f t="shared" si="243"/>
        <v>6.29454007051962</v>
      </c>
    </row>
    <row r="237" outlineLevel="1" spans="3:26">
      <c r="C237" s="11" t="s">
        <v>324</v>
      </c>
      <c r="D237" s="279" t="s">
        <v>58</v>
      </c>
      <c r="E237" s="349">
        <v>2</v>
      </c>
      <c r="F237" s="348"/>
      <c r="G237" s="348"/>
      <c r="H237" s="348"/>
      <c r="I237" s="348"/>
      <c r="J237" s="348"/>
      <c r="K237" s="348"/>
      <c r="L237" s="348"/>
      <c r="M237" s="348"/>
      <c r="N237" s="348"/>
      <c r="O237" s="348"/>
      <c r="W237" s="348"/>
      <c r="X237" s="348"/>
      <c r="Y237" s="348"/>
      <c r="Z237" s="348"/>
    </row>
    <row r="238" outlineLevel="1" spans="4:26">
      <c r="D238" s="279"/>
      <c r="F238" s="348"/>
      <c r="G238" s="348"/>
      <c r="H238" s="348"/>
      <c r="I238" s="348"/>
      <c r="J238" s="348"/>
      <c r="K238" s="348"/>
      <c r="L238" s="348"/>
      <c r="M238" s="348"/>
      <c r="N238" s="348"/>
      <c r="O238" s="348"/>
      <c r="W238" s="348"/>
      <c r="X238" s="348"/>
      <c r="Y238" s="348"/>
      <c r="Z238" s="348"/>
    </row>
    <row r="239" outlineLevel="1" spans="3:26">
      <c r="C239" s="11" t="s">
        <v>325</v>
      </c>
      <c r="D239" s="279" t="s">
        <v>58</v>
      </c>
      <c r="F239" s="348">
        <f>-F220/((F49+F57)*Num_Periods)</f>
        <v>3.89877763328999</v>
      </c>
      <c r="G239" s="348">
        <f>-G220/((G49+G57)*Num_Periods)</f>
        <v>3.92358325619665</v>
      </c>
      <c r="H239" s="348">
        <f>-H220/((H49+H57)*Num_Periods)</f>
        <v>4.77066150958421</v>
      </c>
      <c r="I239" s="348">
        <f>-I220/((I49+I57)*Num_Periods)</f>
        <v>5.12387073303826</v>
      </c>
      <c r="J239" s="348">
        <f>-J220/((J49+J57)*Num_Periods)</f>
        <v>5.427803035154</v>
      </c>
      <c r="K239" s="348">
        <f>-K220/((K49+K57)*Num_Periods)</f>
        <v>4.97106772046796</v>
      </c>
      <c r="L239" s="348">
        <f>-L220/((L49+L57)*Num_Periods)</f>
        <v>5.1924128269876</v>
      </c>
      <c r="M239" s="348">
        <f>-M220/((M49+M57)*Num_Periods)</f>
        <v>5.28392149887048</v>
      </c>
      <c r="N239" s="348">
        <f>-N220/((N49+N57)*Num_Periods)</f>
        <v>5.33384863753051</v>
      </c>
      <c r="O239" s="348">
        <f>-O220/((O49+O57)*Num_Periods)</f>
        <v>5.06035171699171</v>
      </c>
      <c r="P239" s="348">
        <f>-P220/((P49+P57)*Num_Periods)</f>
        <v>5.3142809840104</v>
      </c>
      <c r="Q239" s="348">
        <f>-Q220/((Q49+Q57)*Num_Periods)</f>
        <v>5.420340757513</v>
      </c>
      <c r="R239" s="348">
        <f>-R220/((R49+R57)*Num_Periods)</f>
        <v>5.36205161766724</v>
      </c>
      <c r="S239" s="348">
        <f>-S220/((S49+S57)*Num_Periods)</f>
        <v>5.26155828221649</v>
      </c>
      <c r="T239" s="348">
        <f>-T220/((T49+T57)*Num_Periods)</f>
        <v>5.37317537538684</v>
      </c>
      <c r="U239" s="348">
        <f>-U220/((U49+U57)*Num_Periods)</f>
        <v>5.58755111220508</v>
      </c>
      <c r="W239" s="348">
        <f t="shared" ref="W239:Z239" si="244">-W220/(W49+W57)</f>
        <v>4.39388274108186</v>
      </c>
      <c r="X239" s="348">
        <f t="shared" si="244"/>
        <v>5.21690655690749</v>
      </c>
      <c r="Y239" s="348">
        <f t="shared" si="244"/>
        <v>5.28487928743281</v>
      </c>
      <c r="Z239" s="348">
        <f t="shared" si="244"/>
        <v>5.39992860559342</v>
      </c>
    </row>
    <row r="240" outlineLevel="1" spans="3:26">
      <c r="C240" s="11" t="s">
        <v>324</v>
      </c>
      <c r="D240" s="279" t="s">
        <v>58</v>
      </c>
      <c r="E240" s="349">
        <v>2</v>
      </c>
      <c r="F240" s="348"/>
      <c r="G240" s="348"/>
      <c r="H240" s="348"/>
      <c r="I240" s="348"/>
      <c r="J240" s="348"/>
      <c r="K240" s="348"/>
      <c r="L240" s="348"/>
      <c r="M240" s="348"/>
      <c r="N240" s="348"/>
      <c r="O240" s="348"/>
      <c r="W240" s="348"/>
      <c r="X240" s="348"/>
      <c r="Y240" s="348"/>
      <c r="Z240" s="348"/>
    </row>
    <row r="241" outlineLevel="1" spans="4:26">
      <c r="D241" s="279"/>
      <c r="F241" s="348"/>
      <c r="G241" s="348"/>
      <c r="H241" s="348"/>
      <c r="I241" s="348"/>
      <c r="J241" s="348"/>
      <c r="K241" s="348"/>
      <c r="L241" s="348"/>
      <c r="M241" s="348"/>
      <c r="N241" s="348"/>
      <c r="O241" s="348"/>
      <c r="W241" s="348"/>
      <c r="X241" s="348"/>
      <c r="Y241" s="348"/>
      <c r="Z241" s="348"/>
    </row>
    <row r="242" outlineLevel="1" spans="3:26">
      <c r="C242" s="11" t="s">
        <v>326</v>
      </c>
      <c r="D242" s="279" t="s">
        <v>58</v>
      </c>
      <c r="F242" s="348">
        <f t="shared" ref="F242:U242" si="245">+F122/F220</f>
        <v>4.052485524455</v>
      </c>
      <c r="G242" s="348">
        <f t="shared" si="245"/>
        <v>3.97700463970222</v>
      </c>
      <c r="H242" s="348">
        <f t="shared" si="245"/>
        <v>3.61409512000286</v>
      </c>
      <c r="I242" s="348">
        <f t="shared" si="245"/>
        <v>3.73389501585649</v>
      </c>
      <c r="J242" s="348">
        <f t="shared" si="245"/>
        <v>4.15207453460114</v>
      </c>
      <c r="K242" s="348">
        <f t="shared" si="245"/>
        <v>4.39819027132089</v>
      </c>
      <c r="L242" s="348">
        <f t="shared" si="245"/>
        <v>4.17259055261083</v>
      </c>
      <c r="M242" s="348">
        <f t="shared" si="245"/>
        <v>3.97286637146619</v>
      </c>
      <c r="N242" s="348">
        <f t="shared" si="245"/>
        <v>3.98009325805883</v>
      </c>
      <c r="O242" s="348">
        <f t="shared" si="245"/>
        <v>4.16473570053309</v>
      </c>
      <c r="P242" s="348">
        <f t="shared" si="245"/>
        <v>3.99132395138492</v>
      </c>
      <c r="Q242" s="348">
        <f t="shared" si="245"/>
        <v>3.77552811265349</v>
      </c>
      <c r="R242" s="348">
        <f t="shared" si="245"/>
        <v>3.78675875199889</v>
      </c>
      <c r="S242" s="348">
        <f t="shared" si="245"/>
        <v>3.91178028160748</v>
      </c>
      <c r="T242" s="348">
        <f t="shared" si="245"/>
        <v>3.77487519124991</v>
      </c>
      <c r="U242" s="348">
        <f t="shared" si="245"/>
        <v>3.56968959732603</v>
      </c>
      <c r="W242" s="348">
        <f t="shared" ref="W242:Z242" si="246">+W122/W220</f>
        <v>3.94882881304496</v>
      </c>
      <c r="X242" s="348">
        <f t="shared" si="246"/>
        <v>4.36471884054842</v>
      </c>
      <c r="Y242" s="348">
        <f t="shared" si="246"/>
        <v>4.13458473442247</v>
      </c>
      <c r="Z242" s="348">
        <f t="shared" si="246"/>
        <v>3.89567039992669</v>
      </c>
    </row>
    <row r="243" outlineLevel="1" spans="3:26">
      <c r="C243" s="11" t="s">
        <v>327</v>
      </c>
      <c r="D243" s="279" t="s">
        <v>58</v>
      </c>
      <c r="F243" s="348">
        <f t="shared" ref="F243:U243" si="247">(F122-F112)/F220</f>
        <v>3.24354604157216</v>
      </c>
      <c r="G243" s="348">
        <f t="shared" si="247"/>
        <v>3.06926131746573</v>
      </c>
      <c r="H243" s="348">
        <f t="shared" si="247"/>
        <v>3.42982545038332</v>
      </c>
      <c r="I243" s="348">
        <f t="shared" si="247"/>
        <v>3.61963364415203</v>
      </c>
      <c r="J243" s="348">
        <f t="shared" si="247"/>
        <v>4.01958037420664</v>
      </c>
      <c r="K243" s="348">
        <f t="shared" si="247"/>
        <v>4.33265217555881</v>
      </c>
      <c r="L243" s="348">
        <f t="shared" si="247"/>
        <v>4.11151900458763</v>
      </c>
      <c r="M243" s="348">
        <f t="shared" si="247"/>
        <v>3.9060349297229</v>
      </c>
      <c r="N243" s="348">
        <f t="shared" si="247"/>
        <v>3.91577074876789</v>
      </c>
      <c r="O243" s="348">
        <f t="shared" si="247"/>
        <v>4.09994616210085</v>
      </c>
      <c r="P243" s="348">
        <f t="shared" si="247"/>
        <v>3.93033128241107</v>
      </c>
      <c r="Q243" s="348">
        <f t="shared" si="247"/>
        <v>3.70931298624211</v>
      </c>
      <c r="R243" s="348">
        <f t="shared" si="247"/>
        <v>3.72267518400968</v>
      </c>
      <c r="S243" s="348">
        <f t="shared" si="247"/>
        <v>3.84762469420426</v>
      </c>
      <c r="T243" s="348">
        <f t="shared" si="247"/>
        <v>3.71396053598082</v>
      </c>
      <c r="U243" s="348">
        <f t="shared" si="247"/>
        <v>3.50402835914423</v>
      </c>
      <c r="W243" s="348">
        <f t="shared" ref="W243:Z243" si="248">(W122-W112)/W220</f>
        <v>3.82799022629078</v>
      </c>
      <c r="X243" s="348">
        <f t="shared" si="248"/>
        <v>4.29129566804681</v>
      </c>
      <c r="Y243" s="348">
        <f t="shared" si="248"/>
        <v>4.06207248112185</v>
      </c>
      <c r="Z243" s="348">
        <f t="shared" si="248"/>
        <v>3.82401303728121</v>
      </c>
    </row>
    <row r="244" outlineLevel="1" spans="3:26">
      <c r="C244" s="11" t="s">
        <v>328</v>
      </c>
      <c r="D244" s="279" t="s">
        <v>58</v>
      </c>
      <c r="F244" s="348">
        <f t="shared" ref="F244:U244" si="249">(F128+F122-F112)/F220</f>
        <v>4.41509792672839</v>
      </c>
      <c r="G244" s="348">
        <f t="shared" si="249"/>
        <v>4.0563448583187</v>
      </c>
      <c r="H244" s="348">
        <f t="shared" si="249"/>
        <v>4.02969072287864</v>
      </c>
      <c r="I244" s="348">
        <f t="shared" si="249"/>
        <v>4.21499148009656</v>
      </c>
      <c r="J244" s="348">
        <f t="shared" si="249"/>
        <v>4.61312613547885</v>
      </c>
      <c r="K244" s="348">
        <f t="shared" si="249"/>
        <v>4.93843987972222</v>
      </c>
      <c r="L244" s="348">
        <f t="shared" si="249"/>
        <v>4.66272204749518</v>
      </c>
      <c r="M244" s="348">
        <f t="shared" si="249"/>
        <v>4.41885450197585</v>
      </c>
      <c r="N244" s="348">
        <f t="shared" si="249"/>
        <v>4.41422030535906</v>
      </c>
      <c r="O244" s="348">
        <f t="shared" si="249"/>
        <v>4.60197936947078</v>
      </c>
      <c r="P244" s="348">
        <f t="shared" si="249"/>
        <v>4.39338626896213</v>
      </c>
      <c r="Q244" s="348">
        <f t="shared" si="249"/>
        <v>4.14009631486894</v>
      </c>
      <c r="R244" s="348">
        <f t="shared" si="249"/>
        <v>4.14355225282871</v>
      </c>
      <c r="S244" s="348">
        <f t="shared" si="249"/>
        <v>4.26705787415908</v>
      </c>
      <c r="T244" s="348">
        <f t="shared" si="249"/>
        <v>4.10445069515277</v>
      </c>
      <c r="U244" s="348">
        <f t="shared" si="249"/>
        <v>3.86808693956258</v>
      </c>
      <c r="W244" s="348">
        <f t="shared" ref="W244:Z244" si="250">(W128+W122-W112)/W220</f>
        <v>4.45761858131044</v>
      </c>
      <c r="X244" s="348">
        <f t="shared" si="250"/>
        <v>4.85469575240162</v>
      </c>
      <c r="Y244" s="348">
        <f t="shared" si="250"/>
        <v>4.53382374908749</v>
      </c>
      <c r="Z244" s="348">
        <f t="shared" si="250"/>
        <v>4.22131711566312</v>
      </c>
    </row>
    <row r="245" outlineLevel="1"/>
    <row r="246" outlineLevel="1" spans="3:5">
      <c r="C246" s="11" t="s">
        <v>329</v>
      </c>
      <c r="D246" s="736" t="s">
        <v>56</v>
      </c>
      <c r="E246" s="350">
        <v>0.085</v>
      </c>
    </row>
    <row r="247" outlineLevel="1" spans="3:26">
      <c r="C247" s="11" t="s">
        <v>330</v>
      </c>
      <c r="D247" s="181" t="s">
        <v>48</v>
      </c>
      <c r="F247" s="309">
        <f>+F220/$E$246</f>
        <v>3527.24705882353</v>
      </c>
      <c r="G247" s="309">
        <f>+G220/$E$246</f>
        <v>3590.49411764706</v>
      </c>
      <c r="H247" s="309">
        <f>+H220/$E$246</f>
        <v>3946.96470588235</v>
      </c>
      <c r="I247" s="309">
        <f>+I220/$E$246</f>
        <v>3976.84705882353</v>
      </c>
      <c r="J247" s="309">
        <f>+J220/$E$246</f>
        <v>3988.98823529412</v>
      </c>
      <c r="K247" s="309">
        <f>+K220/$E$246</f>
        <v>3908.37754307547</v>
      </c>
      <c r="L247" s="309">
        <f>+L220/$E$246</f>
        <v>4295.41725011966</v>
      </c>
      <c r="M247" s="309">
        <f>+M220/$E$246</f>
        <v>4616.92023263043</v>
      </c>
      <c r="N247" s="309">
        <f>+N220/$E$246</f>
        <v>4750.02340259979</v>
      </c>
      <c r="O247" s="309">
        <f>+O220/$E$246</f>
        <v>4716.116432272</v>
      </c>
      <c r="P247" s="309">
        <f>+P220/$E$246</f>
        <v>5113.10131105239</v>
      </c>
      <c r="Q247" s="309">
        <f>+Q220/$E$246</f>
        <v>5496.14365618711</v>
      </c>
      <c r="R247" s="309">
        <f>+R220/$E$246</f>
        <v>5625.50738501171</v>
      </c>
      <c r="S247" s="309">
        <f>+S220/$E$246</f>
        <v>5644.87306197027</v>
      </c>
      <c r="T247" s="309">
        <f>+T220/$E$246</f>
        <v>6063.26946585351</v>
      </c>
      <c r="U247" s="309">
        <f>+U220/$E$246</f>
        <v>6503.478248206</v>
      </c>
      <c r="W247" s="309">
        <f>+W220/$E$246</f>
        <v>3760.38823529412</v>
      </c>
      <c r="X247" s="309">
        <f>+X220/$E$246</f>
        <v>4202.42581527992</v>
      </c>
      <c r="Y247" s="309">
        <f>+Y220/$E$246</f>
        <v>5018.84620052782</v>
      </c>
      <c r="Z247" s="309">
        <f>+Z220/$E$246</f>
        <v>5959.28204026037</v>
      </c>
    </row>
    <row r="248" outlineLevel="1"/>
    <row r="249" outlineLevel="1" spans="3:26">
      <c r="C249" s="11" t="s">
        <v>331</v>
      </c>
      <c r="D249" s="736" t="s">
        <v>56</v>
      </c>
      <c r="F249" s="194">
        <f t="shared" ref="F249:U249" si="251">+F122/F247</f>
        <v>0.344461269578675</v>
      </c>
      <c r="G249" s="194">
        <f t="shared" si="251"/>
        <v>0.338045394374689</v>
      </c>
      <c r="H249" s="194">
        <f t="shared" si="251"/>
        <v>0.307198085200243</v>
      </c>
      <c r="I249" s="194">
        <f t="shared" si="251"/>
        <v>0.317381076347801</v>
      </c>
      <c r="J249" s="194">
        <f t="shared" si="251"/>
        <v>0.352926335441097</v>
      </c>
      <c r="K249" s="194">
        <f t="shared" si="251"/>
        <v>0.373846173062276</v>
      </c>
      <c r="L249" s="194">
        <f t="shared" si="251"/>
        <v>0.354670196971921</v>
      </c>
      <c r="M249" s="194">
        <f t="shared" si="251"/>
        <v>0.337693641574626</v>
      </c>
      <c r="N249" s="194">
        <f t="shared" si="251"/>
        <v>0.338307926935001</v>
      </c>
      <c r="O249" s="194">
        <f t="shared" si="251"/>
        <v>0.354002534545313</v>
      </c>
      <c r="P249" s="194">
        <f t="shared" si="251"/>
        <v>0.339262535867718</v>
      </c>
      <c r="Q249" s="194">
        <f t="shared" si="251"/>
        <v>0.320919889575547</v>
      </c>
      <c r="R249" s="194">
        <f t="shared" si="251"/>
        <v>0.321874493919905</v>
      </c>
      <c r="S249" s="194">
        <f t="shared" si="251"/>
        <v>0.332501323936636</v>
      </c>
      <c r="T249" s="194">
        <f t="shared" si="251"/>
        <v>0.320864391256243</v>
      </c>
      <c r="U249" s="194">
        <f t="shared" si="251"/>
        <v>0.303423615772713</v>
      </c>
      <c r="W249" s="194">
        <f t="shared" ref="W249:Z249" si="252">+W122/W247</f>
        <v>0.335650449108822</v>
      </c>
      <c r="X249" s="194">
        <f t="shared" si="252"/>
        <v>0.371001101446616</v>
      </c>
      <c r="Y249" s="194">
        <f t="shared" si="252"/>
        <v>0.35143970242591</v>
      </c>
      <c r="Z249" s="194">
        <f t="shared" si="252"/>
        <v>0.331131983993769</v>
      </c>
    </row>
    <row r="250" outlineLevel="1" spans="3:5">
      <c r="C250" s="11" t="s">
        <v>332</v>
      </c>
      <c r="D250" s="736" t="s">
        <v>56</v>
      </c>
      <c r="E250" s="182">
        <v>0.6</v>
      </c>
    </row>
  </sheetData>
  <pageMargins left="0.699305555555556" right="0.699305555555556" top="0.75" bottom="0.75" header="0.3" footer="0.3"/>
  <pageSetup paperSize="1" scale="28" orientation="portrait"/>
  <headerFooter/>
  <rowBreaks count="3" manualBreakCount="3">
    <brk id="68" max="26" man="1"/>
    <brk id="144" max="26" man="1"/>
    <brk id="216" max="2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autoPageBreaks="0"/>
  </sheetPr>
  <dimension ref="B2:W88"/>
  <sheetViews>
    <sheetView showGridLines="0" workbookViewId="0">
      <selection activeCell="B2" sqref="B2"/>
    </sheetView>
  </sheetViews>
  <sheetFormatPr defaultColWidth="8.44166666666667" defaultRowHeight="15.75"/>
  <cols>
    <col min="1" max="2" width="2.375" style="11" customWidth="1"/>
    <col min="3" max="3" width="46.25" style="11" customWidth="1"/>
    <col min="4" max="20" width="13.75" style="11" customWidth="1"/>
    <col min="21" max="16384" width="8" style="11"/>
  </cols>
  <sheetData>
    <row r="2" ht="18.75" spans="2:10">
      <c r="B2" s="171" t="str">
        <f>Seller_Name&amp;" - Net Asset Value (NAV) Model"</f>
        <v>DuPont Fabros Technology, Inc. - Net Asset Value (NAV) Model</v>
      </c>
      <c r="D2" s="172"/>
      <c r="E2" s="4"/>
      <c r="F2" s="4"/>
      <c r="G2" s="4"/>
      <c r="H2" s="4"/>
      <c r="I2" s="4"/>
      <c r="J2" s="4"/>
    </row>
    <row r="3" spans="2:10">
      <c r="B3" s="4" t="str">
        <f>+'DLR-Op-Model'!$B$3</f>
        <v>($ USD in Millions Except Per Share and Per Unit Amounts in USD as Stated)</v>
      </c>
      <c r="D3" s="172"/>
      <c r="E3" s="4"/>
      <c r="F3" s="4"/>
      <c r="G3" s="4"/>
      <c r="H3" s="4"/>
      <c r="I3" s="4"/>
      <c r="J3" s="4"/>
    </row>
    <row r="4" spans="2:10">
      <c r="B4" s="4"/>
      <c r="C4" s="4"/>
      <c r="D4" s="172"/>
      <c r="E4" s="4"/>
      <c r="F4" s="4"/>
      <c r="G4" s="4"/>
      <c r="H4" s="4"/>
      <c r="I4" s="4"/>
      <c r="J4" s="4"/>
    </row>
    <row r="5" spans="2:12">
      <c r="B5" s="173" t="s">
        <v>247</v>
      </c>
      <c r="C5" s="173"/>
      <c r="D5" s="174"/>
      <c r="E5" s="175"/>
      <c r="F5" s="176"/>
      <c r="G5" s="176"/>
      <c r="H5" s="176"/>
      <c r="I5" s="221"/>
      <c r="J5" s="221"/>
      <c r="K5" s="221"/>
      <c r="L5" s="221"/>
    </row>
    <row r="6" outlineLevel="1" spans="2:11">
      <c r="B6" s="177" t="s">
        <v>509</v>
      </c>
      <c r="C6" s="178"/>
      <c r="D6" s="178"/>
      <c r="E6" s="178"/>
      <c r="F6" s="178"/>
      <c r="G6" s="178"/>
      <c r="H6" s="178"/>
      <c r="I6" s="180"/>
      <c r="J6" s="180"/>
      <c r="K6" s="180"/>
    </row>
    <row r="7" outlineLevel="1" spans="2:11">
      <c r="B7" s="179"/>
      <c r="C7" s="180"/>
      <c r="D7" s="180"/>
      <c r="E7" s="180"/>
      <c r="F7" s="180"/>
      <c r="G7" s="180"/>
      <c r="H7" s="180"/>
      <c r="I7" s="180"/>
      <c r="J7" s="180"/>
      <c r="K7" s="180"/>
    </row>
    <row r="8" outlineLevel="1" spans="2:23">
      <c r="B8" s="179"/>
      <c r="C8" s="11" t="s">
        <v>510</v>
      </c>
      <c r="D8" s="736" t="s">
        <v>56</v>
      </c>
      <c r="E8" s="182">
        <v>0</v>
      </c>
      <c r="F8" s="180"/>
      <c r="G8" s="180"/>
      <c r="H8" s="180"/>
      <c r="I8" s="180"/>
      <c r="J8" s="180"/>
      <c r="K8" s="180"/>
      <c r="W8" s="193"/>
    </row>
    <row r="9" outlineLevel="1" spans="2:23">
      <c r="B9" s="179"/>
      <c r="C9" s="11"/>
      <c r="D9" s="181"/>
      <c r="E9" s="180"/>
      <c r="F9" s="180"/>
      <c r="G9" s="180"/>
      <c r="H9" s="180"/>
      <c r="I9" s="180"/>
      <c r="J9" s="180"/>
      <c r="K9" s="180"/>
      <c r="W9" s="193"/>
    </row>
    <row r="10" outlineLevel="1" spans="2:23">
      <c r="B10" s="179"/>
      <c r="C10" s="183"/>
      <c r="D10" s="183"/>
      <c r="E10" s="183"/>
      <c r="F10" s="183"/>
      <c r="G10" s="183" t="s">
        <v>511</v>
      </c>
      <c r="H10" s="183" t="s">
        <v>512</v>
      </c>
      <c r="I10" s="222"/>
      <c r="J10" s="222"/>
      <c r="K10" s="180"/>
      <c r="W10" s="193"/>
    </row>
    <row r="11" outlineLevel="1" spans="2:23">
      <c r="B11" s="179"/>
      <c r="C11" s="184"/>
      <c r="D11" s="184"/>
      <c r="E11" s="184" t="s">
        <v>513</v>
      </c>
      <c r="F11" s="184" t="s">
        <v>514</v>
      </c>
      <c r="G11" s="184" t="s">
        <v>514</v>
      </c>
      <c r="H11" s="184" t="s">
        <v>426</v>
      </c>
      <c r="I11" s="222"/>
      <c r="J11" s="222"/>
      <c r="K11" s="180"/>
      <c r="W11" s="193"/>
    </row>
    <row r="12" outlineLevel="1" spans="2:23">
      <c r="B12" s="179"/>
      <c r="C12" s="11" t="s">
        <v>515</v>
      </c>
      <c r="D12" s="181" t="s">
        <v>48</v>
      </c>
      <c r="E12" s="185">
        <f>'DFT-Op-Model'!J224</f>
        <v>366.312</v>
      </c>
      <c r="K12" s="180"/>
      <c r="W12" s="193"/>
    </row>
    <row r="13" outlineLevel="1" spans="2:23">
      <c r="B13" s="179"/>
      <c r="C13" s="51" t="s">
        <v>282</v>
      </c>
      <c r="D13" s="181" t="s">
        <v>48</v>
      </c>
      <c r="E13" s="186">
        <f>'DFT-Op-Model'!J199*Num_Periods</f>
        <v>6.872</v>
      </c>
      <c r="K13" s="180"/>
      <c r="W13" s="193"/>
    </row>
    <row r="14" outlineLevel="1" spans="2:23">
      <c r="B14" s="179"/>
      <c r="C14" s="51" t="s">
        <v>284</v>
      </c>
      <c r="D14" s="181" t="s">
        <v>48</v>
      </c>
      <c r="E14" s="186">
        <f>'DFT-Op-Model'!J200*Num_Periods</f>
        <v>-1.084</v>
      </c>
      <c r="K14" s="180"/>
      <c r="W14" s="193"/>
    </row>
    <row r="15" outlineLevel="1" spans="2:23">
      <c r="B15" s="179"/>
      <c r="C15" s="51" t="s">
        <v>516</v>
      </c>
      <c r="D15" s="181" t="s">
        <v>48</v>
      </c>
      <c r="E15" s="187">
        <v>0</v>
      </c>
      <c r="F15" s="11"/>
      <c r="G15" s="11"/>
      <c r="H15" s="11"/>
      <c r="I15" s="11"/>
      <c r="J15" s="11"/>
      <c r="K15" s="180"/>
      <c r="W15" s="193"/>
    </row>
    <row r="16" outlineLevel="1" spans="2:23">
      <c r="B16" s="179"/>
      <c r="C16" s="51" t="s">
        <v>517</v>
      </c>
      <c r="D16" s="181" t="s">
        <v>48</v>
      </c>
      <c r="E16" s="187">
        <v>0</v>
      </c>
      <c r="F16" s="11"/>
      <c r="G16" s="11"/>
      <c r="H16" s="11"/>
      <c r="I16" s="11"/>
      <c r="J16" s="11"/>
      <c r="K16" s="180"/>
      <c r="W16" s="193"/>
    </row>
    <row r="17" outlineLevel="1" spans="2:23">
      <c r="B17" s="179"/>
      <c r="C17" s="51" t="s">
        <v>518</v>
      </c>
      <c r="D17" s="181" t="s">
        <v>48</v>
      </c>
      <c r="E17" s="188">
        <v>0</v>
      </c>
      <c r="F17" s="11"/>
      <c r="G17" s="11"/>
      <c r="H17" s="11"/>
      <c r="I17" s="11"/>
      <c r="J17" s="11"/>
      <c r="K17" s="180"/>
      <c r="W17" s="193"/>
    </row>
    <row r="18" outlineLevel="1" spans="2:23">
      <c r="B18" s="179"/>
      <c r="C18" s="189" t="s">
        <v>519</v>
      </c>
      <c r="D18" s="190" t="s">
        <v>48</v>
      </c>
      <c r="E18" s="191">
        <f>SUM(E12:E17)</f>
        <v>372.1</v>
      </c>
      <c r="K18" s="180"/>
      <c r="W18" s="193"/>
    </row>
    <row r="19" outlineLevel="1" spans="2:23">
      <c r="B19" s="179"/>
      <c r="C19" s="192" t="s">
        <v>520</v>
      </c>
      <c r="D19" s="736" t="s">
        <v>56</v>
      </c>
      <c r="E19" s="182">
        <v>0.12</v>
      </c>
      <c r="F19" s="180"/>
      <c r="G19" s="180"/>
      <c r="H19" s="180"/>
      <c r="I19" s="180"/>
      <c r="J19" s="180"/>
      <c r="K19" s="180"/>
      <c r="W19" s="193"/>
    </row>
    <row r="20" outlineLevel="1" spans="2:23">
      <c r="B20" s="179"/>
      <c r="C20" s="193" t="s">
        <v>521</v>
      </c>
      <c r="D20" s="190" t="s">
        <v>48</v>
      </c>
      <c r="E20" s="191">
        <f>+E18*(1+E19)</f>
        <v>416.752</v>
      </c>
      <c r="F20" s="182">
        <v>0.07</v>
      </c>
      <c r="G20" s="194">
        <f>+F20+Seller_NAV_Cap_Rate_Adj</f>
        <v>0.07</v>
      </c>
      <c r="H20" s="195">
        <f t="shared" ref="H20:H24" si="0">+E20/G20</f>
        <v>5953.6</v>
      </c>
      <c r="K20" s="180"/>
      <c r="W20" s="193"/>
    </row>
    <row r="21" outlineLevel="1" spans="2:23">
      <c r="B21" s="179"/>
      <c r="C21" s="11"/>
      <c r="D21" s="181"/>
      <c r="E21" s="180"/>
      <c r="F21" s="180"/>
      <c r="G21" s="180"/>
      <c r="H21" s="180"/>
      <c r="I21" s="180"/>
      <c r="J21" s="180"/>
      <c r="K21" s="180"/>
      <c r="W21" s="193"/>
    </row>
    <row r="22" outlineLevel="1" spans="2:23">
      <c r="B22" s="179"/>
      <c r="C22" s="11" t="s">
        <v>522</v>
      </c>
      <c r="D22" s="181" t="s">
        <v>48</v>
      </c>
      <c r="E22" s="187">
        <v>0</v>
      </c>
      <c r="F22" s="182">
        <v>0.08</v>
      </c>
      <c r="G22" s="194">
        <f>+F22+Seller_NAV_Cap_Rate_Adj</f>
        <v>0.08</v>
      </c>
      <c r="H22" s="196">
        <f t="shared" si="0"/>
        <v>0</v>
      </c>
      <c r="K22" s="180"/>
      <c r="W22" s="193"/>
    </row>
    <row r="23" outlineLevel="1" spans="2:23">
      <c r="B23" s="179"/>
      <c r="C23" s="11"/>
      <c r="D23" s="181"/>
      <c r="E23" s="180"/>
      <c r="F23" s="180"/>
      <c r="G23" s="180"/>
      <c r="H23" s="180"/>
      <c r="I23" s="180"/>
      <c r="J23" s="180"/>
      <c r="K23" s="180"/>
      <c r="W23" s="193"/>
    </row>
    <row r="24" outlineLevel="1" spans="2:23">
      <c r="B24" s="179"/>
      <c r="C24" s="11" t="s">
        <v>523</v>
      </c>
      <c r="D24" s="181" t="s">
        <v>48</v>
      </c>
      <c r="E24" s="187">
        <v>0</v>
      </c>
      <c r="F24" s="182">
        <v>0.17</v>
      </c>
      <c r="G24" s="194">
        <f>+F24+Seller_NAV_Cap_Rate_Adj</f>
        <v>0.17</v>
      </c>
      <c r="H24" s="196">
        <f t="shared" si="0"/>
        <v>0</v>
      </c>
      <c r="I24" s="223"/>
      <c r="J24" s="224"/>
      <c r="K24" s="180"/>
      <c r="W24" s="193"/>
    </row>
    <row r="25" outlineLevel="1" spans="2:23">
      <c r="B25" s="179"/>
      <c r="C25" s="11"/>
      <c r="D25" s="181"/>
      <c r="E25" s="180"/>
      <c r="G25" s="180"/>
      <c r="H25" s="180"/>
      <c r="I25" s="180"/>
      <c r="J25" s="180"/>
      <c r="K25" s="180"/>
      <c r="W25" s="193"/>
    </row>
    <row r="26" outlineLevel="1" spans="2:12">
      <c r="B26" s="177" t="s">
        <v>260</v>
      </c>
      <c r="C26" s="178"/>
      <c r="D26" s="178"/>
      <c r="E26" s="178"/>
      <c r="F26" s="178"/>
      <c r="G26" s="178"/>
      <c r="H26" s="178"/>
      <c r="I26" s="180"/>
      <c r="J26" s="180"/>
      <c r="K26" s="180"/>
      <c r="L26" s="180"/>
    </row>
    <row r="27" outlineLevel="1" spans="3:8">
      <c r="C27" s="11" t="s">
        <v>524</v>
      </c>
      <c r="D27" s="181" t="s">
        <v>48</v>
      </c>
      <c r="F27" s="197"/>
      <c r="G27" s="197"/>
      <c r="H27" s="198">
        <f>'DFT-Op-Model'!J107</f>
        <v>596.746</v>
      </c>
    </row>
    <row r="28" outlineLevel="1" spans="3:8">
      <c r="C28" s="51" t="s">
        <v>525</v>
      </c>
      <c r="D28" s="181" t="s">
        <v>48</v>
      </c>
      <c r="F28" s="197"/>
      <c r="G28" s="197"/>
      <c r="H28" s="199">
        <v>0</v>
      </c>
    </row>
    <row r="29" outlineLevel="1" spans="3:8">
      <c r="C29" s="51" t="s">
        <v>526</v>
      </c>
      <c r="D29" s="737" t="s">
        <v>56</v>
      </c>
      <c r="E29" s="115"/>
      <c r="F29" s="201"/>
      <c r="G29" s="201"/>
      <c r="H29" s="202">
        <v>1.2</v>
      </c>
    </row>
    <row r="30" outlineLevel="1" spans="3:8">
      <c r="C30" s="189" t="s">
        <v>527</v>
      </c>
      <c r="D30" s="181" t="s">
        <v>48</v>
      </c>
      <c r="F30" s="197"/>
      <c r="G30" s="197"/>
      <c r="H30" s="203">
        <f>SUM(H27:H28)*H29</f>
        <v>716.0952</v>
      </c>
    </row>
    <row r="31" outlineLevel="1" spans="3:8">
      <c r="C31" s="193"/>
      <c r="D31" s="181"/>
      <c r="F31" s="197"/>
      <c r="G31" s="197"/>
      <c r="H31" s="203"/>
    </row>
    <row r="32" outlineLevel="1" spans="3:8">
      <c r="C32" s="11" t="s">
        <v>528</v>
      </c>
      <c r="D32" s="181" t="s">
        <v>48</v>
      </c>
      <c r="F32" s="197"/>
      <c r="G32" s="197"/>
      <c r="H32" s="204">
        <v>0</v>
      </c>
    </row>
    <row r="33" outlineLevel="1" spans="3:12">
      <c r="C33" s="11" t="s">
        <v>253</v>
      </c>
      <c r="D33" s="181" t="s">
        <v>48</v>
      </c>
      <c r="F33" s="205"/>
      <c r="H33" s="206">
        <f>'DFT-Op-Model'!J112</f>
        <v>44.9239999999999</v>
      </c>
      <c r="K33" s="205"/>
      <c r="L33" s="205"/>
    </row>
    <row r="34" outlineLevel="1" spans="3:11">
      <c r="C34" s="11" t="s">
        <v>254</v>
      </c>
      <c r="D34" s="181" t="s">
        <v>48</v>
      </c>
      <c r="F34" s="207"/>
      <c r="H34" s="206">
        <f>'DFT-Op-Model'!J113</f>
        <v>9.504</v>
      </c>
      <c r="K34" s="205"/>
    </row>
    <row r="35" outlineLevel="1" spans="3:11">
      <c r="C35" s="11" t="s">
        <v>260</v>
      </c>
      <c r="D35" s="181" t="s">
        <v>48</v>
      </c>
      <c r="F35" s="207"/>
      <c r="H35" s="206">
        <f>'DFT-Op-Model'!J117</f>
        <v>70.023</v>
      </c>
      <c r="K35" s="205"/>
    </row>
    <row r="36" outlineLevel="1" spans="3:8">
      <c r="C36" s="11" t="s">
        <v>529</v>
      </c>
      <c r="D36" s="181" t="s">
        <v>48</v>
      </c>
      <c r="H36" s="204">
        <v>0</v>
      </c>
    </row>
    <row r="37" outlineLevel="1"/>
    <row r="38" outlineLevel="1" spans="3:12">
      <c r="C38" s="193" t="s">
        <v>530</v>
      </c>
      <c r="D38" s="181" t="s">
        <v>48</v>
      </c>
      <c r="F38" s="208"/>
      <c r="H38" s="209">
        <f>+H20+H22+H24+H30+SUM(H32:H36)</f>
        <v>6794.1462</v>
      </c>
      <c r="K38" s="208"/>
      <c r="L38" s="225"/>
    </row>
    <row r="40" spans="2:11">
      <c r="B40" s="173" t="s">
        <v>262</v>
      </c>
      <c r="C40" s="173"/>
      <c r="D40" s="174"/>
      <c r="E40" s="175"/>
      <c r="F40" s="176"/>
      <c r="G40" s="176"/>
      <c r="H40" s="176"/>
      <c r="I40" s="221"/>
      <c r="J40" s="221"/>
      <c r="K40" s="221"/>
    </row>
    <row r="41" outlineLevel="1" spans="3:11">
      <c r="C41" s="210" t="s">
        <v>263</v>
      </c>
      <c r="D41" s="181" t="s">
        <v>48</v>
      </c>
      <c r="F41" s="207"/>
      <c r="H41" s="211">
        <f>-'DFT-Op-Model'!J122</f>
        <v>-1407.819</v>
      </c>
      <c r="K41" s="226"/>
    </row>
    <row r="42" outlineLevel="1" spans="3:22">
      <c r="C42" s="51" t="s">
        <v>526</v>
      </c>
      <c r="D42" s="737" t="s">
        <v>56</v>
      </c>
      <c r="F42" s="197"/>
      <c r="G42" s="115"/>
      <c r="H42" s="202">
        <v>1.018</v>
      </c>
      <c r="I42" s="11"/>
      <c r="J42" s="11"/>
      <c r="K42" s="226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93"/>
    </row>
    <row r="43" outlineLevel="1" spans="3:22">
      <c r="C43" s="189" t="s">
        <v>531</v>
      </c>
      <c r="D43" s="181" t="s">
        <v>48</v>
      </c>
      <c r="E43" s="212"/>
      <c r="F43" s="213"/>
      <c r="H43" s="214">
        <f>+H41*H42</f>
        <v>-1433.159742</v>
      </c>
      <c r="K43" s="226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93"/>
    </row>
    <row r="44" outlineLevel="1" spans="3:22">
      <c r="C44" s="51"/>
      <c r="D44" s="181"/>
      <c r="F44" s="207"/>
      <c r="H44" s="207"/>
      <c r="I44" s="11"/>
      <c r="J44" s="11"/>
      <c r="K44" s="226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93"/>
    </row>
    <row r="45" outlineLevel="1" spans="3:22">
      <c r="C45" s="210" t="s">
        <v>532</v>
      </c>
      <c r="D45" s="181" t="s">
        <v>48</v>
      </c>
      <c r="F45" s="207"/>
      <c r="H45" s="187">
        <v>0</v>
      </c>
      <c r="I45" s="11"/>
      <c r="J45" s="11"/>
      <c r="K45" s="226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93"/>
    </row>
    <row r="46" outlineLevel="1" spans="3:22">
      <c r="C46" s="210" t="s">
        <v>533</v>
      </c>
      <c r="D46" s="181" t="s">
        <v>48</v>
      </c>
      <c r="F46" s="207"/>
      <c r="H46" s="187">
        <v>0</v>
      </c>
      <c r="I46" s="11"/>
      <c r="J46" s="11"/>
      <c r="K46" s="226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93"/>
    </row>
    <row r="47" outlineLevel="1" spans="3:22">
      <c r="C47" s="51"/>
      <c r="D47" s="181"/>
      <c r="F47" s="207"/>
      <c r="H47" s="207"/>
      <c r="I47" s="11"/>
      <c r="J47" s="11"/>
      <c r="K47" s="22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93"/>
    </row>
    <row r="48" outlineLevel="1" spans="3:22">
      <c r="C48" s="210" t="s">
        <v>264</v>
      </c>
      <c r="D48" s="181" t="s">
        <v>48</v>
      </c>
      <c r="F48" s="207"/>
      <c r="H48" s="206">
        <f>-'DFT-Op-Model'!J123</f>
        <v>-35.92</v>
      </c>
      <c r="K48" s="22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93"/>
    </row>
    <row r="49" outlineLevel="1" spans="3:11">
      <c r="C49" s="210" t="s">
        <v>265</v>
      </c>
      <c r="D49" s="181" t="s">
        <v>48</v>
      </c>
      <c r="F49" s="207"/>
      <c r="H49" s="206">
        <f>-'DFT-Op-Model'!J124</f>
        <v>-181.335000000002</v>
      </c>
      <c r="K49" s="226"/>
    </row>
    <row r="50" outlineLevel="1"/>
    <row r="51" outlineLevel="1" spans="3:8">
      <c r="C51" s="11" t="s">
        <v>534</v>
      </c>
      <c r="D51" s="181" t="s">
        <v>48</v>
      </c>
      <c r="H51" s="206">
        <f>-'DFT-Op-Model'!J128</f>
        <v>-201.25</v>
      </c>
    </row>
    <row r="52" outlineLevel="1" spans="3:8">
      <c r="C52" s="11" t="s">
        <v>535</v>
      </c>
      <c r="D52" s="181" t="s">
        <v>48</v>
      </c>
      <c r="H52" s="187">
        <v>0</v>
      </c>
    </row>
    <row r="53" outlineLevel="1"/>
    <row r="54" outlineLevel="1" spans="3:12">
      <c r="C54" s="193" t="s">
        <v>431</v>
      </c>
      <c r="D54" s="181" t="s">
        <v>48</v>
      </c>
      <c r="F54" s="208"/>
      <c r="G54" s="208"/>
      <c r="H54" s="209">
        <f>+H38+H43+H45+H46+H48+H49+H51+H52</f>
        <v>4942.481458</v>
      </c>
      <c r="K54" s="208"/>
      <c r="L54" s="225"/>
    </row>
    <row r="55" outlineLevel="1" spans="3:12">
      <c r="C55" s="193"/>
      <c r="D55" s="181"/>
      <c r="F55" s="208"/>
      <c r="G55" s="208"/>
      <c r="H55" s="208"/>
      <c r="I55" s="11"/>
      <c r="J55" s="208"/>
      <c r="K55" s="208"/>
      <c r="L55" s="225"/>
    </row>
    <row r="56" outlineLevel="1" spans="3:12">
      <c r="C56" s="45"/>
      <c r="D56" s="45"/>
      <c r="E56" s="45"/>
      <c r="F56" s="46"/>
      <c r="G56" s="107" t="s">
        <v>63</v>
      </c>
      <c r="H56" s="46"/>
      <c r="I56" s="11"/>
      <c r="J56" s="11"/>
      <c r="K56" s="208"/>
      <c r="L56" s="225"/>
    </row>
    <row r="57" outlineLevel="1" spans="3:12">
      <c r="C57" s="47" t="s">
        <v>536</v>
      </c>
      <c r="D57" s="47"/>
      <c r="E57" s="47"/>
      <c r="F57" s="48" t="s">
        <v>71</v>
      </c>
      <c r="G57" s="48" t="s">
        <v>72</v>
      </c>
      <c r="H57" s="48" t="s">
        <v>73</v>
      </c>
      <c r="I57" s="11"/>
      <c r="J57" s="11"/>
      <c r="K57" s="208"/>
      <c r="L57" s="225"/>
    </row>
    <row r="58" outlineLevel="1" spans="3:12">
      <c r="C58" s="51" t="s">
        <v>456</v>
      </c>
      <c r="D58" s="9" t="s">
        <v>229</v>
      </c>
      <c r="F58" s="52">
        <f>Seller_Shares</f>
        <v>77.83617</v>
      </c>
      <c r="G58" s="212"/>
      <c r="H58" s="114">
        <f t="shared" ref="H58:H62" si="1">+F58</f>
        <v>77.83617</v>
      </c>
      <c r="K58" s="208"/>
      <c r="L58" s="225"/>
    </row>
    <row r="59" outlineLevel="1" spans="3:12">
      <c r="C59" s="49" t="str">
        <f>'DFT-Op-Model'!K9</f>
        <v>Options A:</v>
      </c>
      <c r="D59" s="9" t="s">
        <v>229</v>
      </c>
      <c r="F59" s="52">
        <f>'DFT-Op-Model'!M9</f>
        <v>0.751479</v>
      </c>
      <c r="G59" s="215">
        <f>'DFT-Op-Model'!N9</f>
        <v>15.83</v>
      </c>
      <c r="H59" s="112">
        <f ca="1">IF(G59&lt;$H$65,F59-((F59*G59)/$H$65),0)</f>
        <v>0.533357452302669</v>
      </c>
      <c r="K59" s="208"/>
      <c r="L59" s="225"/>
    </row>
    <row r="60" outlineLevel="1" spans="3:12">
      <c r="C60" s="51" t="str">
        <f>'DFT-Op-Model'!K10</f>
        <v>Restricted Stock:</v>
      </c>
      <c r="D60" s="9" t="s">
        <v>229</v>
      </c>
      <c r="F60" s="52">
        <f>'DFT-Op-Model'!M10</f>
        <v>0.35248</v>
      </c>
      <c r="H60" s="114">
        <f t="shared" si="1"/>
        <v>0.35248</v>
      </c>
      <c r="K60" s="208"/>
      <c r="L60" s="225"/>
    </row>
    <row r="61" outlineLevel="1" spans="3:12">
      <c r="C61" s="51" t="str">
        <f>'DFT-Op-Model'!K11</f>
        <v>OP Units:</v>
      </c>
      <c r="D61" s="9" t="s">
        <v>229</v>
      </c>
      <c r="F61" s="52">
        <f>'DFT-Op-Model'!M11</f>
        <v>11.682368</v>
      </c>
      <c r="H61" s="114">
        <f t="shared" si="1"/>
        <v>11.682368</v>
      </c>
      <c r="K61" s="208"/>
      <c r="L61" s="225"/>
    </row>
    <row r="62" outlineLevel="1" spans="3:12">
      <c r="C62" s="49" t="str">
        <f>'DFT-Op-Model'!K12</f>
        <v>Performance Units:</v>
      </c>
      <c r="D62" s="216" t="s">
        <v>229</v>
      </c>
      <c r="E62" s="115"/>
      <c r="F62" s="52">
        <f>'DFT-Op-Model'!M12</f>
        <v>0.220173</v>
      </c>
      <c r="G62" s="217"/>
      <c r="H62" s="218">
        <f t="shared" si="1"/>
        <v>0.220173</v>
      </c>
      <c r="K62" s="208"/>
      <c r="L62" s="225"/>
    </row>
    <row r="63" outlineLevel="1" spans="3:12">
      <c r="C63" s="219" t="s">
        <v>537</v>
      </c>
      <c r="D63" s="9" t="s">
        <v>229</v>
      </c>
      <c r="F63" s="220"/>
      <c r="H63" s="118">
        <f ca="1">SUM(H58:H62)</f>
        <v>90.6245484523027</v>
      </c>
      <c r="K63" s="208"/>
      <c r="L63" s="225"/>
    </row>
    <row r="64" outlineLevel="1" spans="3:12">
      <c r="C64" s="193"/>
      <c r="D64" s="181"/>
      <c r="F64" s="208"/>
      <c r="G64" s="208"/>
      <c r="H64" s="208"/>
      <c r="I64" s="11"/>
      <c r="J64" s="208"/>
      <c r="K64" s="208"/>
      <c r="L64" s="225"/>
    </row>
    <row r="65" outlineLevel="1" spans="3:8">
      <c r="C65" s="193" t="s">
        <v>538</v>
      </c>
      <c r="D65" s="181" t="s">
        <v>65</v>
      </c>
      <c r="G65" s="227"/>
      <c r="H65" s="228">
        <f ca="1">+H54/H63</f>
        <v>54.5379981738758</v>
      </c>
    </row>
    <row r="66" outlineLevel="1" spans="3:8">
      <c r="C66" s="11" t="s">
        <v>539</v>
      </c>
      <c r="D66" s="181" t="s">
        <v>65</v>
      </c>
      <c r="G66" s="229"/>
      <c r="H66" s="113">
        <f>Seller_Share_Price</f>
        <v>55.54</v>
      </c>
    </row>
    <row r="67" outlineLevel="1"/>
    <row r="68" outlineLevel="1" spans="3:8">
      <c r="C68" s="11" t="s">
        <v>540</v>
      </c>
      <c r="D68" s="736" t="s">
        <v>56</v>
      </c>
      <c r="G68" s="230"/>
      <c r="H68" s="231">
        <f ca="1">+H65/H66-1</f>
        <v>-0.0180410843738605</v>
      </c>
    </row>
    <row r="69" outlineLevel="1"/>
    <row r="70" spans="2:15">
      <c r="B70" s="138" t="s">
        <v>541</v>
      </c>
      <c r="C70" s="138"/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</row>
    <row r="71" spans="2:15">
      <c r="B71" s="108"/>
      <c r="C71" s="108"/>
      <c r="D71" s="108"/>
      <c r="E71" s="108"/>
      <c r="F71" s="108"/>
      <c r="G71" s="108"/>
      <c r="H71" s="108"/>
      <c r="I71" s="108"/>
      <c r="J71" s="160"/>
      <c r="K71" s="160"/>
      <c r="L71" s="160"/>
      <c r="M71" s="160"/>
      <c r="N71" s="160"/>
      <c r="O71" s="160"/>
    </row>
    <row r="72" spans="2:15">
      <c r="B72" s="108"/>
      <c r="C72" s="139"/>
      <c r="D72" s="140"/>
      <c r="E72" s="141" t="s">
        <v>542</v>
      </c>
      <c r="F72" s="142"/>
      <c r="G72" s="142"/>
      <c r="H72" s="142"/>
      <c r="I72" s="142"/>
      <c r="J72" s="142"/>
      <c r="K72" s="142"/>
      <c r="L72" s="142"/>
      <c r="M72" s="142"/>
      <c r="N72" s="142"/>
      <c r="O72" s="142"/>
    </row>
    <row r="73" spans="2:15">
      <c r="B73" s="108"/>
      <c r="C73" s="143"/>
      <c r="D73" s="144">
        <f ca="1">$H$65</f>
        <v>54.5379981738758</v>
      </c>
      <c r="E73" s="145">
        <v>-0.0075</v>
      </c>
      <c r="F73" s="146">
        <f t="shared" ref="F73:O73" si="2">+E73+0.15%</f>
        <v>-0.006</v>
      </c>
      <c r="G73" s="146">
        <f t="shared" si="2"/>
        <v>-0.0045</v>
      </c>
      <c r="H73" s="146">
        <f t="shared" si="2"/>
        <v>-0.003</v>
      </c>
      <c r="I73" s="146">
        <f t="shared" si="2"/>
        <v>-0.0015</v>
      </c>
      <c r="J73" s="163">
        <f t="shared" si="2"/>
        <v>0</v>
      </c>
      <c r="K73" s="146">
        <f t="shared" si="2"/>
        <v>0.0015</v>
      </c>
      <c r="L73" s="146">
        <f t="shared" si="2"/>
        <v>0.003</v>
      </c>
      <c r="M73" s="146">
        <f t="shared" si="2"/>
        <v>0.0045</v>
      </c>
      <c r="N73" s="146">
        <f t="shared" si="2"/>
        <v>0.006</v>
      </c>
      <c r="O73" s="164">
        <f t="shared" si="2"/>
        <v>0.0075</v>
      </c>
    </row>
    <row r="74" spans="2:15">
      <c r="B74" s="108"/>
      <c r="C74" s="143"/>
      <c r="D74" s="232">
        <v>0.16</v>
      </c>
      <c r="E74" s="233">
        <v>65.0239956608784</v>
      </c>
      <c r="F74" s="233">
        <v>63.2421952058837</v>
      </c>
      <c r="G74" s="233">
        <v>61.5420040442733</v>
      </c>
      <c r="H74" s="233">
        <v>59.9179408450856</v>
      </c>
      <c r="I74" s="233">
        <v>58.3650045012989</v>
      </c>
      <c r="J74" s="228">
        <v>56.8786225722077</v>
      </c>
      <c r="K74" s="233">
        <v>55.4546063184246</v>
      </c>
      <c r="L74" s="233">
        <v>54.0891112805115</v>
      </c>
      <c r="M74" s="233">
        <v>52.7786026199247</v>
      </c>
      <c r="N74" s="233">
        <v>51.5198245643215</v>
      </c>
      <c r="O74" s="233">
        <v>50.3097734011532</v>
      </c>
    </row>
    <row r="75" spans="2:15">
      <c r="B75" s="108"/>
      <c r="C75" s="147" t="s">
        <v>543</v>
      </c>
      <c r="D75" s="234">
        <f t="shared" ref="D75:D82" si="3">+D74-1%</f>
        <v>0.15</v>
      </c>
      <c r="E75" s="235">
        <v>64.3686208740071</v>
      </c>
      <c r="F75" s="235">
        <v>62.6021807167553</v>
      </c>
      <c r="G75" s="235">
        <v>60.9166463754843</v>
      </c>
      <c r="H75" s="235">
        <v>59.3065837210973</v>
      </c>
      <c r="I75" s="235">
        <v>57.7670347595642</v>
      </c>
      <c r="J75" s="242">
        <v>56.2934664677718</v>
      </c>
      <c r="K75" s="243">
        <v>54.8817262161548</v>
      </c>
      <c r="L75" s="243">
        <v>53.5280026871669</v>
      </c>
      <c r="M75" s="243">
        <v>52.2287915150107</v>
      </c>
      <c r="N75" s="243">
        <v>50.980864994346</v>
      </c>
      <c r="O75" s="243">
        <v>49.7812453066981</v>
      </c>
    </row>
    <row r="76" spans="3:15">
      <c r="C76" s="150"/>
      <c r="D76" s="234">
        <f t="shared" si="3"/>
        <v>0.14</v>
      </c>
      <c r="E76" s="197">
        <v>63.7132460408841</v>
      </c>
      <c r="F76" s="197">
        <v>61.9621662276155</v>
      </c>
      <c r="G76" s="197">
        <v>60.2912887066834</v>
      </c>
      <c r="H76" s="197">
        <v>58.6952265970965</v>
      </c>
      <c r="I76" s="197">
        <v>57.1690650178164</v>
      </c>
      <c r="J76" s="237">
        <v>55.708310363322</v>
      </c>
      <c r="K76" s="197">
        <v>54.3088461138706</v>
      </c>
      <c r="L76" s="197">
        <v>52.9668940938074</v>
      </c>
      <c r="M76" s="197">
        <v>51.6789804100808</v>
      </c>
      <c r="N76" s="197">
        <v>50.4419054243541</v>
      </c>
      <c r="O76" s="197">
        <v>49.2527172122257</v>
      </c>
    </row>
    <row r="77" spans="3:15">
      <c r="C77" s="150"/>
      <c r="D77" s="234">
        <f t="shared" si="3"/>
        <v>0.13</v>
      </c>
      <c r="E77" s="197">
        <v>63.0578712078754</v>
      </c>
      <c r="F77" s="197">
        <v>61.3221517384637</v>
      </c>
      <c r="G77" s="197">
        <v>59.6659310378699</v>
      </c>
      <c r="H77" s="197">
        <v>58.0838694730825</v>
      </c>
      <c r="I77" s="197">
        <v>56.5710952760547</v>
      </c>
      <c r="J77" s="237">
        <v>55.1231542588579</v>
      </c>
      <c r="K77" s="197">
        <v>53.7359660115713</v>
      </c>
      <c r="L77" s="197">
        <v>52.405785500432</v>
      </c>
      <c r="M77" s="197">
        <v>51.1291693051345</v>
      </c>
      <c r="N77" s="197">
        <v>49.9029458543448</v>
      </c>
      <c r="O77" s="197">
        <v>48.7241891177353</v>
      </c>
    </row>
    <row r="78" spans="3:15">
      <c r="C78" s="150"/>
      <c r="D78" s="236">
        <f t="shared" si="3"/>
        <v>0.12</v>
      </c>
      <c r="E78" s="237">
        <v>62.4024963749861</v>
      </c>
      <c r="F78" s="237">
        <v>60.6821372492995</v>
      </c>
      <c r="G78" s="237">
        <v>59.0405733690433</v>
      </c>
      <c r="H78" s="237">
        <v>57.4725123490548</v>
      </c>
      <c r="I78" s="237">
        <v>55.9731255342788</v>
      </c>
      <c r="J78" s="237">
        <v>54.5379981543787</v>
      </c>
      <c r="K78" s="237">
        <v>53.1630859092562</v>
      </c>
      <c r="L78" s="237">
        <v>51.8446769070401</v>
      </c>
      <c r="M78" s="237">
        <v>50.5793582001709</v>
      </c>
      <c r="N78" s="237">
        <v>49.3639862843175</v>
      </c>
      <c r="O78" s="237">
        <v>48.195661023226</v>
      </c>
    </row>
    <row r="79" spans="3:15">
      <c r="C79" s="150"/>
      <c r="D79" s="234">
        <f t="shared" si="3"/>
        <v>0.11</v>
      </c>
      <c r="E79" s="197">
        <v>61.7471215422217</v>
      </c>
      <c r="F79" s="197">
        <v>60.0421227601222</v>
      </c>
      <c r="G79" s="197">
        <v>58.415215700203</v>
      </c>
      <c r="H79" s="197">
        <v>56.8611552250128</v>
      </c>
      <c r="I79" s="197">
        <v>55.3751557924877</v>
      </c>
      <c r="J79" s="237">
        <v>53.9528420498838</v>
      </c>
      <c r="K79" s="197">
        <v>52.5902058069247</v>
      </c>
      <c r="L79" s="197">
        <v>51.283568313631</v>
      </c>
      <c r="M79" s="197">
        <v>50.0295470951892</v>
      </c>
      <c r="N79" s="197">
        <v>48.8250267142713</v>
      </c>
      <c r="O79" s="197">
        <v>47.6671329286968</v>
      </c>
    </row>
    <row r="80" spans="3:15">
      <c r="C80" s="150"/>
      <c r="D80" s="234">
        <f t="shared" si="3"/>
        <v>0.1</v>
      </c>
      <c r="E80" s="197">
        <v>61.091746709588</v>
      </c>
      <c r="F80" s="197">
        <v>59.4021082709313</v>
      </c>
      <c r="G80" s="197">
        <v>57.7898580313484</v>
      </c>
      <c r="H80" s="197">
        <v>56.2497981009557</v>
      </c>
      <c r="I80" s="197">
        <v>54.777186050681</v>
      </c>
      <c r="J80" s="237">
        <v>53.3676859453723</v>
      </c>
      <c r="K80" s="197">
        <v>52.0173257045758</v>
      </c>
      <c r="L80" s="197">
        <v>50.7224597202037</v>
      </c>
      <c r="M80" s="197">
        <v>49.4797359901886</v>
      </c>
      <c r="N80" s="197">
        <v>48.2860671442052</v>
      </c>
      <c r="O80" s="197">
        <v>47.138604834147</v>
      </c>
    </row>
    <row r="81" spans="3:15">
      <c r="C81" s="150"/>
      <c r="D81" s="238">
        <f t="shared" si="3"/>
        <v>0.09</v>
      </c>
      <c r="E81" s="197">
        <v>60.4363718770911</v>
      </c>
      <c r="F81" s="197">
        <v>58.762093781726</v>
      </c>
      <c r="G81" s="197">
        <v>57.1645003624787</v>
      </c>
      <c r="H81" s="197">
        <v>55.6384409768829</v>
      </c>
      <c r="I81" s="197">
        <v>54.1792163088577</v>
      </c>
      <c r="J81" s="237">
        <v>52.7825298408435</v>
      </c>
      <c r="K81" s="197">
        <v>51.4444456022088</v>
      </c>
      <c r="L81" s="197">
        <v>50.1613511267574</v>
      </c>
      <c r="M81" s="197">
        <v>48.929924885168</v>
      </c>
      <c r="N81" s="197">
        <v>47.7471075741183</v>
      </c>
      <c r="O81" s="197">
        <v>46.6100767395752</v>
      </c>
    </row>
    <row r="82" spans="3:15">
      <c r="C82" s="239"/>
      <c r="D82" s="240">
        <f t="shared" si="3"/>
        <v>0.08</v>
      </c>
      <c r="E82" s="197">
        <v>59.7809970447374</v>
      </c>
      <c r="F82" s="197">
        <v>58.1220792925058</v>
      </c>
      <c r="G82" s="197">
        <v>56.5391426935934</v>
      </c>
      <c r="H82" s="197">
        <v>55.0270838527936</v>
      </c>
      <c r="I82" s="197">
        <v>53.581246567017</v>
      </c>
      <c r="J82" s="237">
        <v>52.1973737362965</v>
      </c>
      <c r="K82" s="197">
        <v>50.8715654998227</v>
      </c>
      <c r="L82" s="197">
        <v>49.6002425332912</v>
      </c>
      <c r="M82" s="197">
        <v>48.3801137801265</v>
      </c>
      <c r="N82" s="197">
        <v>47.2081480040095</v>
      </c>
      <c r="O82" s="197">
        <v>46.0815486449806</v>
      </c>
    </row>
    <row r="83" spans="3:3">
      <c r="C83" s="241"/>
    </row>
    <row r="84" spans="3:3">
      <c r="C84" s="241"/>
    </row>
    <row r="85" spans="3:3">
      <c r="C85" s="241"/>
    </row>
    <row r="86" spans="3:3">
      <c r="C86" s="241"/>
    </row>
    <row r="87" spans="3:3">
      <c r="C87" s="241"/>
    </row>
    <row r="88" spans="3:3">
      <c r="C88" s="241"/>
    </row>
  </sheetData>
  <mergeCells count="1">
    <mergeCell ref="C75:C82"/>
  </mergeCells>
  <pageMargins left="0.699305555555556" right="0.699305555555556" top="0.75" bottom="0.75" header="0.3" footer="0.3"/>
  <pageSetup paperSize="1" scale="34" orientation="portrait"/>
  <headerFooter/>
  <rowBreaks count="1" manualBreakCount="1">
    <brk id="39" max="15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autoPageBreaks="0"/>
  </sheetPr>
  <dimension ref="B2:X136"/>
  <sheetViews>
    <sheetView showGridLines="0" workbookViewId="0">
      <selection activeCell="B2" sqref="B2"/>
    </sheetView>
  </sheetViews>
  <sheetFormatPr defaultColWidth="8.44166666666667" defaultRowHeight="14.25"/>
  <cols>
    <col min="1" max="2" width="2.375" style="2" customWidth="1"/>
    <col min="3" max="3" width="44.25" style="2" customWidth="1"/>
    <col min="4" max="22" width="12" style="2" customWidth="1"/>
    <col min="23" max="23" width="2.375" style="2" customWidth="1"/>
    <col min="24" max="16384" width="8" style="2"/>
  </cols>
  <sheetData>
    <row r="2" ht="18.75" spans="2:2">
      <c r="B2" s="3" t="str">
        <f>"Discounted Cash Flow Analysis - "&amp;Seller_Name&amp;" (Unlevered DCF)"</f>
        <v>Discounted Cash Flow Analysis - DuPont Fabros Technology, Inc. (Unlevered DCF)</v>
      </c>
    </row>
    <row r="3" ht="15.75" spans="2:2">
      <c r="B3" s="4" t="str">
        <f>+'DLR-Op-Model'!$B$3</f>
        <v>($ USD in Millions Except Per Share and Per Unit Amounts in USD as Stated)</v>
      </c>
    </row>
    <row r="5" spans="2:22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</row>
    <row r="6" spans="2:22">
      <c r="B6" s="6" t="s">
        <v>553</v>
      </c>
      <c r="C6" s="6"/>
      <c r="D6" s="7" t="str">
        <f>'Merger-Model'!$D$5</f>
        <v>Units:</v>
      </c>
      <c r="E6" s="6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outlineLevel="1"/>
    <row r="8" ht="15.75" outlineLevel="1" spans="3:20">
      <c r="C8" s="2" t="s">
        <v>554</v>
      </c>
      <c r="D8" s="9" t="s">
        <v>56</v>
      </c>
      <c r="E8" s="10">
        <v>0.076</v>
      </c>
      <c r="F8" s="11"/>
      <c r="G8" s="12" t="s">
        <v>555</v>
      </c>
      <c r="H8" s="13"/>
      <c r="I8" s="13"/>
      <c r="J8" s="13"/>
      <c r="L8" s="12" t="s">
        <v>556</v>
      </c>
      <c r="M8" s="13"/>
      <c r="N8" s="13"/>
      <c r="O8" s="13"/>
      <c r="P8" s="76"/>
      <c r="Q8" s="76"/>
      <c r="R8" s="76"/>
      <c r="S8" s="76"/>
      <c r="T8" s="76"/>
    </row>
    <row r="9" outlineLevel="1" spans="3:20">
      <c r="C9" s="2" t="s">
        <v>557</v>
      </c>
      <c r="D9" s="9" t="s">
        <v>56</v>
      </c>
      <c r="E9" s="14">
        <f>+Cost_of_Equity*(Seller_Eq_Value/(Seller_Eq_Value+'DFT-Op-Model'!O20+'DFT-Op-Model'!O21))+'DFT-Op-Model'!K95*('DFT-Op-Model'!O20/(Seller_Eq_Value+'DFT-Op-Model'!O20+'DFT-Op-Model'!O21))+'DFT-Op-Model'!K96*('DFT-Op-Model'!O21/(Seller_Eq_Value+'DFT-Op-Model'!O20+'DFT-Op-Model'!O21))</f>
        <v>0.067650809787859</v>
      </c>
      <c r="P9" s="24"/>
      <c r="Q9" s="24"/>
      <c r="R9" s="24"/>
      <c r="S9" s="24"/>
      <c r="T9" s="24"/>
    </row>
    <row r="10" outlineLevel="1" spans="7:20">
      <c r="G10" s="2" t="s">
        <v>558</v>
      </c>
      <c r="J10" s="77">
        <v>18.2</v>
      </c>
      <c r="L10" s="2" t="s">
        <v>559</v>
      </c>
      <c r="O10" s="78">
        <v>0.025</v>
      </c>
      <c r="P10" s="79"/>
      <c r="Q10" s="79"/>
      <c r="R10" s="79"/>
      <c r="S10" s="79"/>
      <c r="T10" s="79"/>
    </row>
    <row r="11" outlineLevel="1" spans="3:20">
      <c r="C11" s="2" t="s">
        <v>560</v>
      </c>
      <c r="D11" s="9" t="s">
        <v>48</v>
      </c>
      <c r="E11" s="15">
        <f>SUM(G104:U104)</f>
        <v>271.938366047399</v>
      </c>
      <c r="G11" s="2" t="s">
        <v>561</v>
      </c>
      <c r="J11" s="77">
        <v>15.4655911306658</v>
      </c>
      <c r="P11" s="24"/>
      <c r="Q11" s="24"/>
      <c r="R11" s="24"/>
      <c r="S11" s="24"/>
      <c r="T11" s="24"/>
    </row>
    <row r="12" ht="14.45" customHeight="1" outlineLevel="1" spans="3:20">
      <c r="C12" s="2" t="s">
        <v>562</v>
      </c>
      <c r="D12" s="9" t="s">
        <v>48</v>
      </c>
      <c r="E12" s="16">
        <f>(U96*(1+Terminal_Growth_Rate)/(U100-Terminal_Growth_Rate))*(1+U100)^0.5*U101</f>
        <v>250.969703345421</v>
      </c>
      <c r="P12" s="24"/>
      <c r="Q12" s="24"/>
      <c r="R12" s="24"/>
      <c r="S12" s="24"/>
      <c r="T12" s="24"/>
    </row>
    <row r="13" outlineLevel="1" spans="3:20">
      <c r="C13" s="2" t="s">
        <v>563</v>
      </c>
      <c r="D13" s="9" t="s">
        <v>229</v>
      </c>
      <c r="E13" s="17">
        <f>SUM(E11:E12)/Seller_Share_Price</f>
        <v>9.41498144387505</v>
      </c>
      <c r="G13" s="2" t="s">
        <v>564</v>
      </c>
      <c r="I13" s="80"/>
      <c r="J13" s="77">
        <v>9.55297536421227</v>
      </c>
      <c r="L13" s="2" t="s">
        <v>565</v>
      </c>
      <c r="N13" s="80"/>
      <c r="O13" s="78">
        <v>0.02</v>
      </c>
      <c r="P13" s="79"/>
      <c r="Q13" s="79"/>
      <c r="R13" s="79"/>
      <c r="S13" s="79"/>
      <c r="T13" s="79"/>
    </row>
    <row r="14" outlineLevel="1" spans="3:20">
      <c r="C14" s="2" t="s">
        <v>566</v>
      </c>
      <c r="D14" s="9" t="s">
        <v>229</v>
      </c>
      <c r="E14" s="17">
        <f>+Seller_Diluted_Shares+E13</f>
        <v>100.043465045423</v>
      </c>
      <c r="G14" s="18"/>
      <c r="J14" s="81"/>
      <c r="L14" s="18"/>
      <c r="O14" s="79"/>
      <c r="P14" s="79"/>
      <c r="Q14" s="79"/>
      <c r="R14" s="79"/>
      <c r="S14" s="79"/>
      <c r="T14" s="79"/>
    </row>
    <row r="15" outlineLevel="1" spans="7:20">
      <c r="G15" s="2" t="s">
        <v>567</v>
      </c>
      <c r="J15" s="82">
        <f>+Terminal_Multiple*U93</f>
        <v>12929.9499805969</v>
      </c>
      <c r="L15" s="2" t="s">
        <v>567</v>
      </c>
      <c r="O15" s="82">
        <f>+U82*(1+Terminal_Growth_Rate)/(U87-Terminal_Growth_Rate)*(1+U87)^0.5</f>
        <v>12929.9499805969</v>
      </c>
      <c r="P15" s="83"/>
      <c r="Q15" s="83"/>
      <c r="R15" s="83"/>
      <c r="S15" s="83"/>
      <c r="T15" s="83"/>
    </row>
    <row r="16" outlineLevel="1" spans="3:20">
      <c r="C16" s="19" t="s">
        <v>410</v>
      </c>
      <c r="D16" s="20"/>
      <c r="E16" s="21">
        <f>Seller_Eq_Value</f>
        <v>5033.50597923</v>
      </c>
      <c r="G16" s="2" t="s">
        <v>568</v>
      </c>
      <c r="I16" s="80"/>
      <c r="J16" s="84">
        <f>-U82*(1+Terminal_Growth_Rate)*(1+U87)^0.5/J15+U87</f>
        <v>0.02</v>
      </c>
      <c r="L16" s="2" t="s">
        <v>569</v>
      </c>
      <c r="O16" s="85">
        <f>+O15/U93</f>
        <v>9.55297536421227</v>
      </c>
      <c r="P16" s="86"/>
      <c r="Q16" s="86"/>
      <c r="R16" s="86"/>
      <c r="S16" s="86"/>
      <c r="T16" s="86"/>
    </row>
    <row r="17" outlineLevel="1" spans="3:20">
      <c r="C17" s="18" t="s">
        <v>94</v>
      </c>
      <c r="E17" s="22">
        <f>'DFT-Op-Model'!O18</f>
        <v>-44.9239999999999</v>
      </c>
      <c r="P17" s="24"/>
      <c r="Q17" s="24"/>
      <c r="R17" s="24"/>
      <c r="S17" s="24"/>
      <c r="T17" s="24"/>
    </row>
    <row r="18" outlineLevel="1" spans="3:20">
      <c r="C18" s="18" t="s">
        <v>98</v>
      </c>
      <c r="E18" s="23">
        <f>'DFT-Op-Model'!O19</f>
        <v>0</v>
      </c>
      <c r="F18" s="24"/>
      <c r="G18" s="18" t="s">
        <v>570</v>
      </c>
      <c r="J18" s="82">
        <f>+J15*U88</f>
        <v>4982.69944118766</v>
      </c>
      <c r="L18" s="18" t="str">
        <f>+$G$18</f>
        <v>(+) PV of Terminal Value:</v>
      </c>
      <c r="O18" s="82">
        <f>+O15*U88</f>
        <v>4982.69944118766</v>
      </c>
      <c r="P18" s="83"/>
      <c r="Q18" s="83"/>
      <c r="R18" s="83"/>
      <c r="S18" s="83"/>
      <c r="T18" s="83"/>
    </row>
    <row r="19" outlineLevel="1" spans="3:20">
      <c r="C19" s="25" t="s">
        <v>100</v>
      </c>
      <c r="D19" s="26"/>
      <c r="E19" s="27">
        <f>'DFT-Op-Model'!O20</f>
        <v>1407.819</v>
      </c>
      <c r="F19" s="24"/>
      <c r="G19" s="28" t="s">
        <v>571</v>
      </c>
      <c r="H19" s="29"/>
      <c r="I19" s="29"/>
      <c r="J19" s="87">
        <f>SUM($G$91:$U$91)</f>
        <v>2832.19860443512</v>
      </c>
      <c r="L19" s="28" t="str">
        <f>+$G$19</f>
        <v>(+) Sum of PV of Free Cash Flows:</v>
      </c>
      <c r="M19" s="29"/>
      <c r="N19" s="29"/>
      <c r="O19" s="87">
        <f>SUM($G$91:$U$91)</f>
        <v>2832.19860443512</v>
      </c>
      <c r="P19" s="88"/>
      <c r="Q19" s="88"/>
      <c r="R19" s="88"/>
      <c r="S19" s="88"/>
      <c r="T19" s="88"/>
    </row>
    <row r="20" outlineLevel="1" spans="3:20">
      <c r="C20" s="25" t="s">
        <v>103</v>
      </c>
      <c r="D20" s="26"/>
      <c r="E20" s="27">
        <f>'DFT-Op-Model'!O21</f>
        <v>201.25</v>
      </c>
      <c r="F20" s="24"/>
      <c r="G20" s="30" t="s">
        <v>572</v>
      </c>
      <c r="H20" s="31"/>
      <c r="I20" s="31"/>
      <c r="J20" s="89">
        <f>SUM(J18:J19)</f>
        <v>7814.89804562278</v>
      </c>
      <c r="L20" s="30" t="str">
        <f>+$G$20</f>
        <v>Implied Enterprise Value:</v>
      </c>
      <c r="M20" s="31"/>
      <c r="N20" s="31"/>
      <c r="O20" s="89">
        <f>SUM(O18:O19)</f>
        <v>7814.89804562278</v>
      </c>
      <c r="P20" s="90"/>
      <c r="Q20" s="90"/>
      <c r="R20" s="90"/>
      <c r="S20" s="90"/>
      <c r="T20" s="90"/>
    </row>
    <row r="21" outlineLevel="1" spans="3:20">
      <c r="C21" s="25" t="s">
        <v>573</v>
      </c>
      <c r="D21" s="26"/>
      <c r="E21" s="32">
        <f>'DFT-Op-Model'!O22</f>
        <v>0</v>
      </c>
      <c r="F21" s="33"/>
      <c r="P21" s="24"/>
      <c r="Q21" s="24"/>
      <c r="R21" s="24"/>
      <c r="S21" s="24"/>
      <c r="T21" s="24"/>
    </row>
    <row r="22" outlineLevel="1" spans="3:20">
      <c r="C22" s="34" t="s">
        <v>411</v>
      </c>
      <c r="D22" s="35"/>
      <c r="E22" s="36">
        <f>SUM(E16:E21)</f>
        <v>6597.65097923</v>
      </c>
      <c r="F22" s="33"/>
      <c r="G22" s="37" t="s">
        <v>574</v>
      </c>
      <c r="J22" s="91">
        <f>+J18/J20</f>
        <v>0.637589820378851</v>
      </c>
      <c r="L22" s="37" t="str">
        <f>+$G$22</f>
        <v>% of Implied EV from Terminal Value:</v>
      </c>
      <c r="O22" s="91">
        <f>+O18/O20</f>
        <v>0.637589820378851</v>
      </c>
      <c r="P22" s="92"/>
      <c r="Q22" s="92"/>
      <c r="R22" s="92"/>
      <c r="S22" s="92"/>
      <c r="T22" s="92"/>
    </row>
    <row r="23" outlineLevel="1" spans="6:20">
      <c r="F23" s="33"/>
      <c r="P23" s="24"/>
      <c r="Q23" s="24"/>
      <c r="R23" s="24"/>
      <c r="S23" s="24"/>
      <c r="T23" s="24"/>
    </row>
    <row r="24" outlineLevel="1" spans="6:20">
      <c r="F24" s="24"/>
      <c r="G24" s="18" t="s">
        <v>381</v>
      </c>
      <c r="J24" s="93">
        <f t="shared" ref="J24:J28" si="0">-E17</f>
        <v>44.9239999999999</v>
      </c>
      <c r="L24" s="18" t="str">
        <f>+$G$24</f>
        <v>(+) Cash &amp; Cash-Equivalents:</v>
      </c>
      <c r="O24" s="93">
        <f t="shared" ref="O24:O28" si="1">-E17</f>
        <v>44.9239999999999</v>
      </c>
      <c r="P24" s="93"/>
      <c r="Q24" s="93"/>
      <c r="R24" s="93"/>
      <c r="S24" s="93"/>
      <c r="T24" s="93"/>
    </row>
    <row r="25" outlineLevel="1" spans="7:20">
      <c r="G25" s="18" t="s">
        <v>383</v>
      </c>
      <c r="J25" s="94">
        <f t="shared" si="0"/>
        <v>0</v>
      </c>
      <c r="L25" s="25" t="str">
        <f>+$G$25</f>
        <v>(+) Equity Investments &amp; Non-Core Assets:</v>
      </c>
      <c r="O25" s="94">
        <f t="shared" si="1"/>
        <v>0</v>
      </c>
      <c r="P25" s="95"/>
      <c r="Q25" s="95"/>
      <c r="R25" s="95"/>
      <c r="S25" s="95"/>
      <c r="T25" s="95"/>
    </row>
    <row r="26" outlineLevel="1" spans="7:20">
      <c r="G26" s="25" t="s">
        <v>385</v>
      </c>
      <c r="H26" s="26"/>
      <c r="I26" s="26"/>
      <c r="J26" s="93">
        <f t="shared" si="0"/>
        <v>-1407.819</v>
      </c>
      <c r="L26" s="25" t="str">
        <f>+$G$26</f>
        <v>(-) Total Debt:</v>
      </c>
      <c r="M26" s="26"/>
      <c r="N26" s="26"/>
      <c r="O26" s="93">
        <f t="shared" si="1"/>
        <v>-1407.819</v>
      </c>
      <c r="P26" s="93"/>
      <c r="Q26" s="93"/>
      <c r="R26" s="93"/>
      <c r="S26" s="93"/>
      <c r="T26" s="93"/>
    </row>
    <row r="27" outlineLevel="1" spans="7:20">
      <c r="G27" s="25" t="s">
        <v>387</v>
      </c>
      <c r="H27" s="26"/>
      <c r="I27" s="26"/>
      <c r="J27" s="93">
        <f t="shared" si="0"/>
        <v>-201.25</v>
      </c>
      <c r="L27" s="25" t="str">
        <f>+$G$27</f>
        <v>(-) Preferred Stock:</v>
      </c>
      <c r="M27" s="26"/>
      <c r="N27" s="26"/>
      <c r="O27" s="93">
        <f t="shared" si="1"/>
        <v>-201.25</v>
      </c>
      <c r="P27" s="93"/>
      <c r="Q27" s="93"/>
      <c r="R27" s="93"/>
      <c r="S27" s="93"/>
      <c r="T27" s="93"/>
    </row>
    <row r="28" outlineLevel="1" spans="7:20">
      <c r="G28" s="25" t="s">
        <v>575</v>
      </c>
      <c r="H28" s="26"/>
      <c r="I28" s="26"/>
      <c r="J28" s="96">
        <f t="shared" si="0"/>
        <v>0</v>
      </c>
      <c r="L28" s="25" t="str">
        <f>+$G$28</f>
        <v>(-) Noncontrolling Interests:</v>
      </c>
      <c r="M28" s="26"/>
      <c r="N28" s="26"/>
      <c r="O28" s="96">
        <f t="shared" si="1"/>
        <v>0</v>
      </c>
      <c r="P28" s="93"/>
      <c r="Q28" s="93"/>
      <c r="R28" s="93"/>
      <c r="S28" s="93"/>
      <c r="T28" s="93"/>
    </row>
    <row r="29" outlineLevel="1" spans="3:20">
      <c r="C29" s="38"/>
      <c r="D29" s="24"/>
      <c r="E29" s="24"/>
      <c r="G29" s="34" t="s">
        <v>576</v>
      </c>
      <c r="H29" s="35"/>
      <c r="I29" s="35"/>
      <c r="J29" s="97">
        <f>+J20+SUM(J24:J28)</f>
        <v>6250.75304562278</v>
      </c>
      <c r="L29" s="34" t="str">
        <f>+G29</f>
        <v>Implied Equity Value:</v>
      </c>
      <c r="M29" s="35"/>
      <c r="N29" s="35"/>
      <c r="O29" s="97">
        <f>+O20+SUM(O24:O28)</f>
        <v>6250.75304562278</v>
      </c>
      <c r="P29" s="98"/>
      <c r="Q29" s="98"/>
      <c r="R29" s="98"/>
      <c r="S29" s="98"/>
      <c r="T29" s="98"/>
    </row>
    <row r="30" outlineLevel="1" spans="16:20">
      <c r="P30" s="24"/>
      <c r="Q30" s="24"/>
      <c r="R30" s="24"/>
      <c r="S30" s="24"/>
      <c r="T30" s="24"/>
    </row>
    <row r="31" outlineLevel="1" spans="7:20">
      <c r="G31" s="39" t="s">
        <v>457</v>
      </c>
      <c r="J31" s="99">
        <f ca="1">Seller_Shares+J42+$E$13</f>
        <v>100.067211860879</v>
      </c>
      <c r="L31" s="39" t="s">
        <v>457</v>
      </c>
      <c r="O31" s="99">
        <f ca="1">Seller_Shares+O42+$E$13</f>
        <v>100.067211860879</v>
      </c>
      <c r="P31" s="100"/>
      <c r="Q31" s="100"/>
      <c r="R31" s="100"/>
      <c r="S31" s="100"/>
      <c r="T31" s="100"/>
    </row>
    <row r="32" outlineLevel="1" spans="16:22">
      <c r="P32" s="24"/>
      <c r="Q32" s="24"/>
      <c r="R32" s="24"/>
      <c r="S32" s="24"/>
      <c r="T32" s="24"/>
      <c r="V32" s="104"/>
    </row>
    <row r="33" outlineLevel="1" spans="7:22">
      <c r="G33" s="40" t="s">
        <v>577</v>
      </c>
      <c r="H33" s="41"/>
      <c r="I33" s="41"/>
      <c r="J33" s="101">
        <f ca="1">+J29/J31</f>
        <v>62.4655462002185</v>
      </c>
      <c r="L33" s="40" t="s">
        <v>577</v>
      </c>
      <c r="M33" s="41"/>
      <c r="N33" s="41"/>
      <c r="O33" s="101">
        <f ca="1">+O29/O31</f>
        <v>62.4655462002185</v>
      </c>
      <c r="P33" s="102"/>
      <c r="Q33" s="102"/>
      <c r="R33" s="102"/>
      <c r="S33" s="102"/>
      <c r="T33" s="102"/>
      <c r="V33" s="104"/>
    </row>
    <row r="34" outlineLevel="1" spans="7:22">
      <c r="G34" s="42" t="s">
        <v>578</v>
      </c>
      <c r="H34" s="43"/>
      <c r="I34" s="43"/>
      <c r="J34" s="103">
        <f ca="1">+J33/Seller_Share_Price-1</f>
        <v>0.12469474613285</v>
      </c>
      <c r="K34" s="104"/>
      <c r="L34" s="42" t="s">
        <v>578</v>
      </c>
      <c r="M34" s="43"/>
      <c r="N34" s="43"/>
      <c r="O34" s="103">
        <f ca="1">+O33/Seller_Share_Price-1</f>
        <v>0.12469474613285</v>
      </c>
      <c r="P34" s="105"/>
      <c r="Q34" s="105"/>
      <c r="R34" s="105"/>
      <c r="S34" s="105"/>
      <c r="T34" s="105"/>
      <c r="V34" s="104"/>
    </row>
    <row r="35" outlineLevel="1" spans="8:22">
      <c r="H35" s="44"/>
      <c r="I35" s="104"/>
      <c r="J35" s="104"/>
      <c r="K35" s="104"/>
      <c r="L35" s="104"/>
      <c r="M35" s="104"/>
      <c r="N35" s="104"/>
      <c r="O35" s="104"/>
      <c r="P35" s="106"/>
      <c r="Q35" s="106"/>
      <c r="R35" s="106"/>
      <c r="S35" s="106"/>
      <c r="T35" s="106"/>
      <c r="V35" s="104"/>
    </row>
    <row r="36" outlineLevel="1" spans="7:22">
      <c r="G36" s="45"/>
      <c r="H36" s="46"/>
      <c r="I36" s="107" t="s">
        <v>63</v>
      </c>
      <c r="J36" s="46"/>
      <c r="K36" s="104"/>
      <c r="L36" s="45"/>
      <c r="M36" s="46"/>
      <c r="N36" s="107" t="s">
        <v>63</v>
      </c>
      <c r="O36" s="46"/>
      <c r="P36" s="108"/>
      <c r="Q36" s="108"/>
      <c r="R36" s="108"/>
      <c r="S36" s="108"/>
      <c r="T36" s="108"/>
      <c r="V36" s="104"/>
    </row>
    <row r="37" outlineLevel="1" spans="7:22">
      <c r="G37" s="47" t="s">
        <v>73</v>
      </c>
      <c r="H37" s="48" t="s">
        <v>71</v>
      </c>
      <c r="I37" s="48" t="s">
        <v>72</v>
      </c>
      <c r="J37" s="48" t="s">
        <v>73</v>
      </c>
      <c r="K37" s="104"/>
      <c r="L37" s="47" t="s">
        <v>73</v>
      </c>
      <c r="M37" s="48" t="s">
        <v>71</v>
      </c>
      <c r="N37" s="48" t="s">
        <v>72</v>
      </c>
      <c r="O37" s="48" t="s">
        <v>73</v>
      </c>
      <c r="P37" s="109"/>
      <c r="Q37" s="109"/>
      <c r="R37" s="109"/>
      <c r="S37" s="109"/>
      <c r="T37" s="109"/>
      <c r="U37" s="104"/>
      <c r="V37" s="104"/>
    </row>
    <row r="38" outlineLevel="1" spans="7:22">
      <c r="G38" s="49" t="s">
        <v>447</v>
      </c>
      <c r="H38" s="50">
        <f>'DFT-Op-Model'!M9</f>
        <v>0.751479</v>
      </c>
      <c r="I38" s="110">
        <f>'DFT-Op-Model'!N9</f>
        <v>15.83</v>
      </c>
      <c r="J38" s="111">
        <f ca="1">IF(I38&lt;J33,H38-((H38*I38)/J33),0)</f>
        <v>0.561039417003792</v>
      </c>
      <c r="K38" s="104"/>
      <c r="L38" s="49" t="s">
        <v>447</v>
      </c>
      <c r="M38" s="50">
        <f t="shared" ref="M38:M41" si="2">H38</f>
        <v>0.751479</v>
      </c>
      <c r="N38" s="110">
        <f>I38</f>
        <v>15.83</v>
      </c>
      <c r="O38" s="111">
        <f ca="1">IF(N38&lt;O33,M38-((M38*N38)/O33),0)</f>
        <v>0.561039417003792</v>
      </c>
      <c r="P38" s="112"/>
      <c r="Q38" s="112"/>
      <c r="R38" s="112"/>
      <c r="S38" s="112"/>
      <c r="T38" s="112"/>
      <c r="U38" s="104"/>
      <c r="V38" s="104"/>
    </row>
    <row r="39" ht="15.75" outlineLevel="1" spans="7:22">
      <c r="G39" s="51" t="s">
        <v>579</v>
      </c>
      <c r="H39" s="52">
        <f>'DFT-Op-Model'!M10</f>
        <v>0.35248</v>
      </c>
      <c r="I39" s="113"/>
      <c r="J39" s="114">
        <f t="shared" ref="J39:J41" si="3">+H39</f>
        <v>0.35248</v>
      </c>
      <c r="K39" s="104"/>
      <c r="L39" s="51" t="s">
        <v>579</v>
      </c>
      <c r="M39" s="52">
        <f t="shared" si="2"/>
        <v>0.35248</v>
      </c>
      <c r="N39" s="113"/>
      <c r="O39" s="114">
        <f t="shared" ref="O39:O41" si="4">+M39</f>
        <v>0.35248</v>
      </c>
      <c r="P39" s="114"/>
      <c r="Q39" s="114"/>
      <c r="R39" s="114"/>
      <c r="S39" s="114"/>
      <c r="T39" s="114"/>
      <c r="U39" s="104"/>
      <c r="V39" s="104"/>
    </row>
    <row r="40" ht="15.75" outlineLevel="1" spans="7:22">
      <c r="G40" s="51" t="s">
        <v>451</v>
      </c>
      <c r="H40" s="52">
        <f>'DFT-Op-Model'!M11</f>
        <v>11.682368</v>
      </c>
      <c r="I40" s="11"/>
      <c r="J40" s="114">
        <f t="shared" si="3"/>
        <v>11.682368</v>
      </c>
      <c r="K40" s="104"/>
      <c r="L40" s="51" t="s">
        <v>451</v>
      </c>
      <c r="M40" s="52">
        <f t="shared" si="2"/>
        <v>11.682368</v>
      </c>
      <c r="N40" s="11"/>
      <c r="O40" s="114">
        <f t="shared" si="4"/>
        <v>11.682368</v>
      </c>
      <c r="P40" s="114"/>
      <c r="Q40" s="114"/>
      <c r="R40" s="114"/>
      <c r="S40" s="114"/>
      <c r="T40" s="114"/>
      <c r="U40" s="104"/>
      <c r="V40" s="104"/>
    </row>
    <row r="41" ht="15.75" outlineLevel="1" spans="7:22">
      <c r="G41" s="53" t="s">
        <v>580</v>
      </c>
      <c r="H41" s="54">
        <f>'DFT-Op-Model'!M12</f>
        <v>0.220173</v>
      </c>
      <c r="I41" s="115"/>
      <c r="J41" s="116">
        <f t="shared" si="3"/>
        <v>0.220173</v>
      </c>
      <c r="K41" s="104"/>
      <c r="L41" s="53" t="s">
        <v>580</v>
      </c>
      <c r="M41" s="54">
        <f t="shared" si="2"/>
        <v>0.220173</v>
      </c>
      <c r="N41" s="115"/>
      <c r="O41" s="116">
        <f t="shared" si="4"/>
        <v>0.220173</v>
      </c>
      <c r="P41" s="114"/>
      <c r="Q41" s="114"/>
      <c r="R41" s="114"/>
      <c r="S41" s="114"/>
      <c r="T41" s="114"/>
      <c r="U41" s="104"/>
      <c r="V41" s="104"/>
    </row>
    <row r="42" outlineLevel="1" spans="7:22">
      <c r="G42" s="55" t="s">
        <v>454</v>
      </c>
      <c r="H42" s="56"/>
      <c r="I42" s="117"/>
      <c r="J42" s="118">
        <f ca="1">SUM(J38:J41)</f>
        <v>12.8160604170038</v>
      </c>
      <c r="K42" s="104"/>
      <c r="L42" s="55" t="s">
        <v>454</v>
      </c>
      <c r="M42" s="56"/>
      <c r="N42" s="117"/>
      <c r="O42" s="118">
        <f ca="1">SUM(O38:O41)</f>
        <v>12.8160604170038</v>
      </c>
      <c r="P42" s="118"/>
      <c r="Q42" s="118"/>
      <c r="R42" s="118"/>
      <c r="S42" s="118"/>
      <c r="T42" s="118"/>
      <c r="U42" s="104"/>
      <c r="V42" s="104"/>
    </row>
    <row r="43" spans="8:22">
      <c r="H43" s="44"/>
      <c r="I43" s="104"/>
      <c r="J43" s="104"/>
      <c r="K43" s="104"/>
      <c r="L43" s="104"/>
      <c r="M43" s="104"/>
      <c r="N43" s="104"/>
      <c r="O43" s="104"/>
      <c r="P43" s="104"/>
      <c r="Q43" s="104"/>
      <c r="R43" s="104"/>
      <c r="S43" s="104"/>
      <c r="T43" s="104"/>
      <c r="U43" s="104"/>
      <c r="V43" s="104"/>
    </row>
    <row r="44" spans="2:21">
      <c r="B44" s="5"/>
      <c r="C44" s="5"/>
      <c r="D44" s="5"/>
      <c r="E44" s="5"/>
      <c r="F44" s="57" t="s">
        <v>45</v>
      </c>
      <c r="G44" s="58" t="s">
        <v>46</v>
      </c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</row>
    <row r="45" spans="2:21">
      <c r="B45" s="6" t="s">
        <v>581</v>
      </c>
      <c r="C45" s="6"/>
      <c r="D45" s="7" t="str">
        <f>'Merger-Model'!$D$5</f>
        <v>Units:</v>
      </c>
      <c r="E45" s="6"/>
      <c r="F45" s="60">
        <f>'DFT-Op-Model'!W28</f>
        <v>42735</v>
      </c>
      <c r="G45" s="61">
        <f t="shared" ref="G45:U45" si="5">EOMONTH(F45,12)</f>
        <v>43100</v>
      </c>
      <c r="H45" s="61">
        <f t="shared" si="5"/>
        <v>43465</v>
      </c>
      <c r="I45" s="61">
        <f t="shared" si="5"/>
        <v>43830</v>
      </c>
      <c r="J45" s="61">
        <f t="shared" si="5"/>
        <v>44196</v>
      </c>
      <c r="K45" s="61">
        <f t="shared" si="5"/>
        <v>44561</v>
      </c>
      <c r="L45" s="61">
        <f t="shared" si="5"/>
        <v>44926</v>
      </c>
      <c r="M45" s="61">
        <f t="shared" si="5"/>
        <v>45291</v>
      </c>
      <c r="N45" s="61">
        <f t="shared" si="5"/>
        <v>45657</v>
      </c>
      <c r="O45" s="61">
        <f t="shared" si="5"/>
        <v>46022</v>
      </c>
      <c r="P45" s="61">
        <f t="shared" si="5"/>
        <v>46387</v>
      </c>
      <c r="Q45" s="61">
        <f t="shared" si="5"/>
        <v>46752</v>
      </c>
      <c r="R45" s="61">
        <f t="shared" si="5"/>
        <v>47118</v>
      </c>
      <c r="S45" s="61">
        <f t="shared" si="5"/>
        <v>47483</v>
      </c>
      <c r="T45" s="61">
        <f t="shared" si="5"/>
        <v>47848</v>
      </c>
      <c r="U45" s="61">
        <f t="shared" si="5"/>
        <v>48213</v>
      </c>
    </row>
    <row r="46" outlineLevel="1" spans="7:11">
      <c r="G46" s="62"/>
      <c r="H46" s="62"/>
      <c r="I46" s="62"/>
      <c r="J46" s="62"/>
      <c r="K46" s="62"/>
    </row>
    <row r="47" outlineLevel="1" spans="3:24">
      <c r="C47" s="62" t="s">
        <v>190</v>
      </c>
      <c r="D47" s="63" t="s">
        <v>48</v>
      </c>
      <c r="F47" s="64">
        <f>'DFT-Op-Model'!W36</f>
        <v>528.701</v>
      </c>
      <c r="G47" s="64">
        <f>'DFT-Op-Model'!X36</f>
        <v>587.6682474</v>
      </c>
      <c r="H47" s="64">
        <f>'DFT-Op-Model'!Y36</f>
        <v>700.0634965092</v>
      </c>
      <c r="I47" s="64">
        <f>'DFT-Op-Model'!Z36</f>
        <v>829.330964752054</v>
      </c>
      <c r="J47" s="119">
        <f t="shared" ref="J47:U47" si="6">+I47*(1+J48)</f>
        <v>928.850680522301</v>
      </c>
      <c r="K47" s="119">
        <f t="shared" si="6"/>
        <v>1035.66850878237</v>
      </c>
      <c r="L47" s="119">
        <f t="shared" si="6"/>
        <v>1149.59204474843</v>
      </c>
      <c r="M47" s="119">
        <f t="shared" si="6"/>
        <v>1270.29920944701</v>
      </c>
      <c r="N47" s="119">
        <f t="shared" si="6"/>
        <v>1397.32913039171</v>
      </c>
      <c r="O47" s="119">
        <f t="shared" si="6"/>
        <v>1523.08875212697</v>
      </c>
      <c r="P47" s="119">
        <f t="shared" si="6"/>
        <v>1644.93585229712</v>
      </c>
      <c r="Q47" s="119">
        <f t="shared" si="6"/>
        <v>1760.08136195792</v>
      </c>
      <c r="R47" s="119">
        <f t="shared" si="6"/>
        <v>1865.6862436754</v>
      </c>
      <c r="S47" s="119">
        <f t="shared" si="6"/>
        <v>1958.97055585917</v>
      </c>
      <c r="T47" s="119">
        <f t="shared" si="6"/>
        <v>2037.32937809353</v>
      </c>
      <c r="U47" s="119">
        <f t="shared" si="6"/>
        <v>2098.44925943634</v>
      </c>
      <c r="X47" s="121"/>
    </row>
    <row r="48" outlineLevel="1" spans="3:21">
      <c r="C48" s="18" t="s">
        <v>582</v>
      </c>
      <c r="D48" s="9" t="s">
        <v>56</v>
      </c>
      <c r="F48" s="65" t="str">
        <f t="shared" ref="F48:I48" si="7">IFERROR(+F47/E47-1,"N/A")</f>
        <v>N/A</v>
      </c>
      <c r="G48" s="65">
        <f t="shared" si="7"/>
        <v>0.111532316753704</v>
      </c>
      <c r="H48" s="65">
        <f t="shared" si="7"/>
        <v>0.191256290613738</v>
      </c>
      <c r="I48" s="65">
        <f t="shared" si="7"/>
        <v>0.18465106220712</v>
      </c>
      <c r="J48" s="120">
        <v>0.12</v>
      </c>
      <c r="K48" s="120">
        <v>0.115</v>
      </c>
      <c r="L48" s="120">
        <v>0.11</v>
      </c>
      <c r="M48" s="120">
        <v>0.105</v>
      </c>
      <c r="N48" s="120">
        <v>0.1</v>
      </c>
      <c r="O48" s="120">
        <v>0.09</v>
      </c>
      <c r="P48" s="120">
        <v>0.08</v>
      </c>
      <c r="Q48" s="120">
        <v>0.07</v>
      </c>
      <c r="R48" s="120">
        <v>0.06</v>
      </c>
      <c r="S48" s="120">
        <v>0.05</v>
      </c>
      <c r="T48" s="120">
        <v>0.04</v>
      </c>
      <c r="U48" s="120">
        <v>0.03</v>
      </c>
    </row>
    <row r="49" outlineLevel="1" spans="3:21">
      <c r="C49" s="18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</row>
    <row r="50" outlineLevel="1" spans="3:21">
      <c r="C50" s="67" t="s">
        <v>583</v>
      </c>
      <c r="D50" s="63" t="s">
        <v>48</v>
      </c>
      <c r="F50" s="16">
        <f>+'DFT-Op-Model'!W44</f>
        <v>-316.849</v>
      </c>
      <c r="G50" s="16">
        <f>+'DFT-Op-Model'!X44</f>
        <v>-349.402213216604</v>
      </c>
      <c r="H50" s="16">
        <f>+'DFT-Op-Model'!Y44</f>
        <v>-415.155960130915</v>
      </c>
      <c r="I50" s="16">
        <f>+'DFT-Op-Model'!Z44</f>
        <v>-490.657774977592</v>
      </c>
      <c r="J50" s="16">
        <f t="shared" ref="J50:U50" si="8">-J51*J$47</f>
        <v>-548.021901508158</v>
      </c>
      <c r="K50" s="16">
        <f t="shared" si="8"/>
        <v>-608.973083164031</v>
      </c>
      <c r="L50" s="16">
        <f t="shared" si="8"/>
        <v>-673.660938222578</v>
      </c>
      <c r="M50" s="16">
        <f t="shared" si="8"/>
        <v>-741.854738317054</v>
      </c>
      <c r="N50" s="16">
        <f t="shared" si="8"/>
        <v>-813.245553887976</v>
      </c>
      <c r="O50" s="16">
        <f t="shared" si="8"/>
        <v>-883.39147623364</v>
      </c>
      <c r="P50" s="16">
        <f t="shared" si="8"/>
        <v>-954.062794332331</v>
      </c>
      <c r="Q50" s="16">
        <f t="shared" si="8"/>
        <v>-1020.84718993559</v>
      </c>
      <c r="R50" s="16">
        <f t="shared" si="8"/>
        <v>-1082.09802133173</v>
      </c>
      <c r="S50" s="16">
        <f t="shared" si="8"/>
        <v>-1136.20292239832</v>
      </c>
      <c r="T50" s="16">
        <f t="shared" si="8"/>
        <v>-1181.65103929425</v>
      </c>
      <c r="U50" s="16">
        <f t="shared" si="8"/>
        <v>-1217.10057047308</v>
      </c>
    </row>
    <row r="51" outlineLevel="1" spans="3:21">
      <c r="C51" s="18" t="s">
        <v>584</v>
      </c>
      <c r="D51" s="9" t="s">
        <v>56</v>
      </c>
      <c r="F51" s="65">
        <f t="shared" ref="F51:I51" si="9">-F50/F47</f>
        <v>0.599297145267363</v>
      </c>
      <c r="G51" s="65">
        <f t="shared" si="9"/>
        <v>0.594556903086822</v>
      </c>
      <c r="H51" s="65">
        <f t="shared" si="9"/>
        <v>0.593026150057888</v>
      </c>
      <c r="I51" s="65">
        <f t="shared" si="9"/>
        <v>0.591630839594039</v>
      </c>
      <c r="J51" s="120">
        <v>0.59</v>
      </c>
      <c r="K51" s="120">
        <v>0.588</v>
      </c>
      <c r="L51" s="120">
        <v>0.586</v>
      </c>
      <c r="M51" s="120">
        <v>0.584</v>
      </c>
      <c r="N51" s="120">
        <v>0.582</v>
      </c>
      <c r="O51" s="120">
        <v>0.58</v>
      </c>
      <c r="P51" s="120">
        <v>0.58</v>
      </c>
      <c r="Q51" s="120">
        <v>0.58</v>
      </c>
      <c r="R51" s="120">
        <v>0.58</v>
      </c>
      <c r="S51" s="120">
        <v>0.58</v>
      </c>
      <c r="T51" s="120">
        <v>0.58</v>
      </c>
      <c r="U51" s="120">
        <v>0.58</v>
      </c>
    </row>
    <row r="52" outlineLevel="1" spans="3:21">
      <c r="C52" s="18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</row>
    <row r="53" outlineLevel="1" spans="3:21">
      <c r="C53" s="68" t="s">
        <v>585</v>
      </c>
      <c r="D53" s="63" t="s">
        <v>48</v>
      </c>
      <c r="F53" s="69">
        <f t="shared" ref="F53:U53" si="10">+F47+F50</f>
        <v>211.852</v>
      </c>
      <c r="G53" s="69">
        <f t="shared" si="10"/>
        <v>238.266034183395</v>
      </c>
      <c r="H53" s="69">
        <f t="shared" si="10"/>
        <v>284.907536378285</v>
      </c>
      <c r="I53" s="69">
        <f t="shared" si="10"/>
        <v>338.673189774462</v>
      </c>
      <c r="J53" s="69">
        <f t="shared" si="10"/>
        <v>380.828779014143</v>
      </c>
      <c r="K53" s="69">
        <f t="shared" si="10"/>
        <v>426.695425618335</v>
      </c>
      <c r="L53" s="69">
        <f t="shared" si="10"/>
        <v>475.931106525848</v>
      </c>
      <c r="M53" s="69">
        <f t="shared" si="10"/>
        <v>528.444471129956</v>
      </c>
      <c r="N53" s="69">
        <f t="shared" si="10"/>
        <v>584.083576503736</v>
      </c>
      <c r="O53" s="69">
        <f t="shared" si="10"/>
        <v>639.697275893326</v>
      </c>
      <c r="P53" s="69">
        <f t="shared" si="10"/>
        <v>690.873057964792</v>
      </c>
      <c r="Q53" s="69">
        <f t="shared" si="10"/>
        <v>739.234172022327</v>
      </c>
      <c r="R53" s="69">
        <f t="shared" si="10"/>
        <v>783.588222343667</v>
      </c>
      <c r="S53" s="69">
        <f t="shared" si="10"/>
        <v>822.76763346085</v>
      </c>
      <c r="T53" s="69">
        <f t="shared" si="10"/>
        <v>855.678338799284</v>
      </c>
      <c r="U53" s="69">
        <f t="shared" si="10"/>
        <v>881.348688963263</v>
      </c>
    </row>
    <row r="54" outlineLevel="1" spans="3:21">
      <c r="C54" s="70" t="s">
        <v>586</v>
      </c>
      <c r="D54" s="9" t="s">
        <v>56</v>
      </c>
      <c r="F54" s="66">
        <f t="shared" ref="F54:U54" si="11">+F53/F47</f>
        <v>0.400702854732637</v>
      </c>
      <c r="G54" s="66">
        <f t="shared" si="11"/>
        <v>0.405443096913178</v>
      </c>
      <c r="H54" s="66">
        <f t="shared" si="11"/>
        <v>0.406973849942112</v>
      </c>
      <c r="I54" s="66">
        <f t="shared" si="11"/>
        <v>0.408369160405961</v>
      </c>
      <c r="J54" s="66">
        <f t="shared" si="11"/>
        <v>0.41</v>
      </c>
      <c r="K54" s="66">
        <f t="shared" si="11"/>
        <v>0.412</v>
      </c>
      <c r="L54" s="66">
        <f t="shared" si="11"/>
        <v>0.414</v>
      </c>
      <c r="M54" s="66">
        <f t="shared" si="11"/>
        <v>0.416</v>
      </c>
      <c r="N54" s="66">
        <f t="shared" si="11"/>
        <v>0.418</v>
      </c>
      <c r="O54" s="66">
        <f t="shared" si="11"/>
        <v>0.42</v>
      </c>
      <c r="P54" s="66">
        <f t="shared" si="11"/>
        <v>0.42</v>
      </c>
      <c r="Q54" s="66">
        <f t="shared" si="11"/>
        <v>0.42</v>
      </c>
      <c r="R54" s="66">
        <f t="shared" si="11"/>
        <v>0.42</v>
      </c>
      <c r="S54" s="66">
        <f t="shared" si="11"/>
        <v>0.42</v>
      </c>
      <c r="T54" s="66">
        <f t="shared" si="11"/>
        <v>0.42</v>
      </c>
      <c r="U54" s="66">
        <f t="shared" si="11"/>
        <v>0.42</v>
      </c>
    </row>
    <row r="55" outlineLevel="1" spans="3:21">
      <c r="C55" s="70" t="s">
        <v>587</v>
      </c>
      <c r="D55" s="9" t="s">
        <v>56</v>
      </c>
      <c r="F55" s="66" t="str">
        <f t="shared" ref="F55:U55" si="12">IFERROR(+F53/E53-1,"N/A")</f>
        <v>N/A</v>
      </c>
      <c r="G55" s="66">
        <f t="shared" si="12"/>
        <v>0.124681542696767</v>
      </c>
      <c r="H55" s="66">
        <f t="shared" si="12"/>
        <v>0.195753886426755</v>
      </c>
      <c r="I55" s="66">
        <f t="shared" si="12"/>
        <v>0.188712640176671</v>
      </c>
      <c r="J55" s="66">
        <f t="shared" si="12"/>
        <v>0.124472767589766</v>
      </c>
      <c r="K55" s="66">
        <f t="shared" si="12"/>
        <v>0.120439024390244</v>
      </c>
      <c r="L55" s="66">
        <f t="shared" si="12"/>
        <v>0.115388349514563</v>
      </c>
      <c r="M55" s="66">
        <f t="shared" si="12"/>
        <v>0.110338164251208</v>
      </c>
      <c r="N55" s="66">
        <f t="shared" si="12"/>
        <v>0.105288461538461</v>
      </c>
      <c r="O55" s="66">
        <f t="shared" si="12"/>
        <v>0.0952153110047846</v>
      </c>
      <c r="P55" s="66">
        <f t="shared" si="12"/>
        <v>0.0800000000000001</v>
      </c>
      <c r="Q55" s="66">
        <f t="shared" si="12"/>
        <v>0.0700000000000001</v>
      </c>
      <c r="R55" s="66">
        <f t="shared" si="12"/>
        <v>0.0600000000000001</v>
      </c>
      <c r="S55" s="66">
        <f t="shared" si="12"/>
        <v>0.0499999999999998</v>
      </c>
      <c r="T55" s="66">
        <f t="shared" si="12"/>
        <v>0.04</v>
      </c>
      <c r="U55" s="66">
        <f t="shared" si="12"/>
        <v>0.03</v>
      </c>
    </row>
    <row r="56" outlineLevel="1" spans="3:21">
      <c r="C56" s="18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</row>
    <row r="57" outlineLevel="1" spans="3:11">
      <c r="C57" s="62" t="s">
        <v>588</v>
      </c>
      <c r="F57" s="71"/>
      <c r="G57" s="71"/>
      <c r="H57" s="71"/>
      <c r="I57" s="71"/>
      <c r="J57" s="71"/>
      <c r="K57" s="71"/>
    </row>
    <row r="58" outlineLevel="1" spans="3:21">
      <c r="C58" s="18" t="s">
        <v>279</v>
      </c>
      <c r="D58" s="63" t="s">
        <v>48</v>
      </c>
      <c r="F58" s="72">
        <f>+'DFT-Op-Model'!W150</f>
        <v>107.781</v>
      </c>
      <c r="G58" s="72">
        <f>+'DFT-Op-Model'!X150</f>
        <v>118.940160115398</v>
      </c>
      <c r="H58" s="72">
        <f>+'DFT-Op-Model'!Y150</f>
        <v>141.69439066658</v>
      </c>
      <c r="I58" s="72">
        <f>+'DFT-Op-Model'!Z150</f>
        <v>167.865783647669</v>
      </c>
      <c r="J58" s="16">
        <f t="shared" ref="J58:U58" si="13">+J59*J$47</f>
        <v>190.414389507072</v>
      </c>
      <c r="K58" s="16">
        <f t="shared" si="13"/>
        <v>217.490386844297</v>
      </c>
      <c r="L58" s="16">
        <f t="shared" si="13"/>
        <v>247.162289620912</v>
      </c>
      <c r="M58" s="16">
        <f t="shared" si="13"/>
        <v>279.465826078342</v>
      </c>
      <c r="N58" s="16">
        <f t="shared" si="13"/>
        <v>314.399054338135</v>
      </c>
      <c r="O58" s="16">
        <f t="shared" si="13"/>
        <v>342.694969228567</v>
      </c>
      <c r="P58" s="16">
        <f t="shared" si="13"/>
        <v>370.110566766853</v>
      </c>
      <c r="Q58" s="16">
        <f t="shared" si="13"/>
        <v>396.018306440532</v>
      </c>
      <c r="R58" s="16">
        <f t="shared" si="13"/>
        <v>419.779404826964</v>
      </c>
      <c r="S58" s="16">
        <f t="shared" si="13"/>
        <v>440.768375068313</v>
      </c>
      <c r="T58" s="16">
        <f t="shared" si="13"/>
        <v>458.399110071045</v>
      </c>
      <c r="U58" s="16">
        <f t="shared" si="13"/>
        <v>472.151083373177</v>
      </c>
    </row>
    <row r="59" outlineLevel="1" spans="3:21">
      <c r="C59" s="73" t="s">
        <v>584</v>
      </c>
      <c r="D59" s="9" t="s">
        <v>56</v>
      </c>
      <c r="F59" s="74">
        <f t="shared" ref="F59:I59" si="14">+F58/F$47</f>
        <v>0.203860026744795</v>
      </c>
      <c r="G59" s="74">
        <f t="shared" si="14"/>
        <v>0.202393375244656</v>
      </c>
      <c r="H59" s="74">
        <f t="shared" si="14"/>
        <v>0.202402198333616</v>
      </c>
      <c r="I59" s="74">
        <f t="shared" si="14"/>
        <v>0.202411088916542</v>
      </c>
      <c r="J59" s="120">
        <v>0.205</v>
      </c>
      <c r="K59" s="120">
        <v>0.21</v>
      </c>
      <c r="L59" s="120">
        <v>0.215</v>
      </c>
      <c r="M59" s="120">
        <v>0.22</v>
      </c>
      <c r="N59" s="120">
        <v>0.225</v>
      </c>
      <c r="O59" s="120">
        <v>0.225</v>
      </c>
      <c r="P59" s="120">
        <v>0.225</v>
      </c>
      <c r="Q59" s="120">
        <v>0.225</v>
      </c>
      <c r="R59" s="120">
        <v>0.225</v>
      </c>
      <c r="S59" s="120">
        <v>0.225</v>
      </c>
      <c r="T59" s="120">
        <v>0.225</v>
      </c>
      <c r="U59" s="120">
        <v>0.225</v>
      </c>
    </row>
    <row r="60" outlineLevel="1" spans="3:21">
      <c r="C60" s="18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</row>
    <row r="61" outlineLevel="1" spans="3:21">
      <c r="C61" s="18" t="s">
        <v>282</v>
      </c>
      <c r="D61" s="63" t="s">
        <v>48</v>
      </c>
      <c r="F61" s="72">
        <f>+'DFT-Op-Model'!W153</f>
        <v>-0.0930000000000002</v>
      </c>
      <c r="G61" s="72">
        <f>+'DFT-Op-Model'!X153</f>
        <v>0.428446855515525</v>
      </c>
      <c r="H61" s="72">
        <f>+'DFT-Op-Model'!Y153</f>
        <v>1.90329143475266</v>
      </c>
      <c r="I61" s="72">
        <f>+'DFT-Op-Model'!Z153</f>
        <v>0.658561037452148</v>
      </c>
      <c r="J61" s="16">
        <f t="shared" ref="J61:U61" si="15">+J62*J$47</f>
        <v>1.8577013610446</v>
      </c>
      <c r="K61" s="16">
        <f t="shared" si="15"/>
        <v>2.07133701756473</v>
      </c>
      <c r="L61" s="16">
        <f t="shared" si="15"/>
        <v>2.29918408949685</v>
      </c>
      <c r="M61" s="16">
        <f t="shared" si="15"/>
        <v>2.54059841889402</v>
      </c>
      <c r="N61" s="16">
        <f t="shared" si="15"/>
        <v>2.79465826078342</v>
      </c>
      <c r="O61" s="16">
        <f t="shared" si="15"/>
        <v>3.04617750425393</v>
      </c>
      <c r="P61" s="16">
        <f t="shared" si="15"/>
        <v>3.28987170459425</v>
      </c>
      <c r="Q61" s="16">
        <f t="shared" si="15"/>
        <v>3.52016272391584</v>
      </c>
      <c r="R61" s="16">
        <f t="shared" si="15"/>
        <v>3.73137248735079</v>
      </c>
      <c r="S61" s="16">
        <f t="shared" si="15"/>
        <v>3.91794111171833</v>
      </c>
      <c r="T61" s="16">
        <f t="shared" si="15"/>
        <v>4.07465875618707</v>
      </c>
      <c r="U61" s="16">
        <f t="shared" si="15"/>
        <v>4.19689851887268</v>
      </c>
    </row>
    <row r="62" outlineLevel="1" spans="3:21">
      <c r="C62" s="73" t="s">
        <v>584</v>
      </c>
      <c r="D62" s="9" t="s">
        <v>56</v>
      </c>
      <c r="F62" s="74">
        <f t="shared" ref="F62:I62" si="16">+F61/F$47</f>
        <v>-0.000175902825982928</v>
      </c>
      <c r="G62" s="74">
        <f t="shared" si="16"/>
        <v>0.000729062455579465</v>
      </c>
      <c r="H62" s="74">
        <f t="shared" si="16"/>
        <v>0.00271874114882899</v>
      </c>
      <c r="I62" s="74">
        <f t="shared" si="16"/>
        <v>0.000794087120151167</v>
      </c>
      <c r="J62" s="120">
        <v>0.002</v>
      </c>
      <c r="K62" s="120">
        <v>0.002</v>
      </c>
      <c r="L62" s="120">
        <v>0.002</v>
      </c>
      <c r="M62" s="120">
        <v>0.002</v>
      </c>
      <c r="N62" s="120">
        <v>0.002</v>
      </c>
      <c r="O62" s="120">
        <v>0.002</v>
      </c>
      <c r="P62" s="120">
        <v>0.002</v>
      </c>
      <c r="Q62" s="120">
        <v>0.002</v>
      </c>
      <c r="R62" s="120">
        <v>0.002</v>
      </c>
      <c r="S62" s="120">
        <v>0.002</v>
      </c>
      <c r="T62" s="120">
        <v>0.002</v>
      </c>
      <c r="U62" s="120">
        <v>0.002</v>
      </c>
    </row>
    <row r="63" outlineLevel="1" spans="3:21">
      <c r="C63" s="18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</row>
    <row r="64" outlineLevel="1" spans="3:21">
      <c r="C64" s="18" t="s">
        <v>284</v>
      </c>
      <c r="D64" s="63" t="s">
        <v>48</v>
      </c>
      <c r="F64" s="72">
        <f>+'DFT-Op-Model'!W154</f>
        <v>-0.411</v>
      </c>
      <c r="G64" s="72">
        <f>+'DFT-Op-Model'!X154</f>
        <v>-0.566</v>
      </c>
      <c r="H64" s="72">
        <f>+'DFT-Op-Model'!Y154</f>
        <v>-0.566</v>
      </c>
      <c r="I64" s="72">
        <f>+'DFT-Op-Model'!Z154</f>
        <v>-0.566</v>
      </c>
      <c r="J64" s="16">
        <f t="shared" ref="J64:U64" si="17">+J65*J$47</f>
        <v>-0.928850680522301</v>
      </c>
      <c r="K64" s="16">
        <f t="shared" si="17"/>
        <v>-1.03566850878237</v>
      </c>
      <c r="L64" s="16">
        <f t="shared" si="17"/>
        <v>-1.14959204474843</v>
      </c>
      <c r="M64" s="16">
        <f t="shared" si="17"/>
        <v>-1.27029920944701</v>
      </c>
      <c r="N64" s="16">
        <f t="shared" si="17"/>
        <v>-1.39732913039171</v>
      </c>
      <c r="O64" s="16">
        <f t="shared" si="17"/>
        <v>-1.52308875212697</v>
      </c>
      <c r="P64" s="16">
        <f t="shared" si="17"/>
        <v>-1.64493585229712</v>
      </c>
      <c r="Q64" s="16">
        <f t="shared" si="17"/>
        <v>-1.76008136195792</v>
      </c>
      <c r="R64" s="16">
        <f t="shared" si="17"/>
        <v>-1.8656862436754</v>
      </c>
      <c r="S64" s="16">
        <f t="shared" si="17"/>
        <v>-1.95897055585917</v>
      </c>
      <c r="T64" s="16">
        <f t="shared" si="17"/>
        <v>-2.03732937809353</v>
      </c>
      <c r="U64" s="16">
        <f t="shared" si="17"/>
        <v>-2.09844925943634</v>
      </c>
    </row>
    <row r="65" outlineLevel="1" spans="3:21">
      <c r="C65" s="73" t="s">
        <v>584</v>
      </c>
      <c r="D65" s="9" t="s">
        <v>56</v>
      </c>
      <c r="F65" s="74">
        <f t="shared" ref="F65:I65" si="18">+F64/F$47</f>
        <v>-0.000777377005150359</v>
      </c>
      <c r="G65" s="74">
        <f t="shared" si="18"/>
        <v>-0.000963128435991112</v>
      </c>
      <c r="H65" s="74">
        <f t="shared" si="18"/>
        <v>-0.000808498090276532</v>
      </c>
      <c r="I65" s="74">
        <f t="shared" si="18"/>
        <v>-0.000682477833405409</v>
      </c>
      <c r="J65" s="120">
        <v>-0.001</v>
      </c>
      <c r="K65" s="120">
        <v>-0.001</v>
      </c>
      <c r="L65" s="120">
        <v>-0.001</v>
      </c>
      <c r="M65" s="120">
        <v>-0.001</v>
      </c>
      <c r="N65" s="120">
        <v>-0.001</v>
      </c>
      <c r="O65" s="120">
        <v>-0.001</v>
      </c>
      <c r="P65" s="120">
        <v>-0.001</v>
      </c>
      <c r="Q65" s="120">
        <v>-0.001</v>
      </c>
      <c r="R65" s="120">
        <v>-0.001</v>
      </c>
      <c r="S65" s="120">
        <v>-0.001</v>
      </c>
      <c r="T65" s="120">
        <v>-0.001</v>
      </c>
      <c r="U65" s="120">
        <v>-0.001</v>
      </c>
    </row>
    <row r="66" outlineLevel="1" spans="3:21">
      <c r="C66" s="18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</row>
    <row r="67" outlineLevel="1" spans="3:21">
      <c r="C67" s="18" t="s">
        <v>290</v>
      </c>
      <c r="D67" s="63" t="s">
        <v>48</v>
      </c>
      <c r="F67" s="72">
        <f>+'DFT-Op-Model'!W157</f>
        <v>12.53</v>
      </c>
      <c r="G67" s="72">
        <f>+'DFT-Op-Model'!X157</f>
        <v>-19.6203747779125</v>
      </c>
      <c r="H67" s="72">
        <f>+'DFT-Op-Model'!Y157</f>
        <v>27.6641239900974</v>
      </c>
      <c r="I67" s="72">
        <f>+'DFT-Op-Model'!Z157</f>
        <v>31.750694468393</v>
      </c>
      <c r="J67" s="16">
        <f t="shared" ref="J67:U67" si="19">+J68*(J47-I47)</f>
        <v>2.9855914731074</v>
      </c>
      <c r="K67" s="16">
        <f t="shared" si="19"/>
        <v>2.69180927215363</v>
      </c>
      <c r="L67" s="16">
        <f t="shared" si="19"/>
        <v>2.27847071932121</v>
      </c>
      <c r="M67" s="16">
        <f t="shared" si="19"/>
        <v>2.41414329397169</v>
      </c>
      <c r="N67" s="16">
        <f t="shared" si="19"/>
        <v>2.54059841889402</v>
      </c>
      <c r="O67" s="16">
        <f t="shared" si="19"/>
        <v>2.51519243470508</v>
      </c>
      <c r="P67" s="16">
        <f t="shared" si="19"/>
        <v>2.43694200340315</v>
      </c>
      <c r="Q67" s="16">
        <f t="shared" si="19"/>
        <v>2.30291019321598</v>
      </c>
      <c r="R67" s="16">
        <f t="shared" si="19"/>
        <v>2.11209763434951</v>
      </c>
      <c r="S67" s="16">
        <f t="shared" si="19"/>
        <v>1.8656862436754</v>
      </c>
      <c r="T67" s="16">
        <f t="shared" si="19"/>
        <v>1.56717644468733</v>
      </c>
      <c r="U67" s="16">
        <f t="shared" si="19"/>
        <v>1.22239762685612</v>
      </c>
    </row>
    <row r="68" outlineLevel="1" spans="3:21">
      <c r="C68" s="73" t="s">
        <v>589</v>
      </c>
      <c r="D68" s="9" t="s">
        <v>56</v>
      </c>
      <c r="F68" s="74">
        <f t="shared" ref="F68:I68" si="20">IFERROR(+F67/(F47-E47),"N/A")</f>
        <v>0.0236995958017859</v>
      </c>
      <c r="G68" s="74">
        <f t="shared" si="20"/>
        <v>-0.33273343496635</v>
      </c>
      <c r="H68" s="74">
        <f t="shared" si="20"/>
        <v>0.246132503013714</v>
      </c>
      <c r="I68" s="74">
        <f t="shared" si="20"/>
        <v>0.245620146352237</v>
      </c>
      <c r="J68" s="120">
        <v>0.03</v>
      </c>
      <c r="K68" s="120">
        <v>0.0252</v>
      </c>
      <c r="L68" s="120">
        <v>0.02</v>
      </c>
      <c r="M68" s="120">
        <v>0.02</v>
      </c>
      <c r="N68" s="120">
        <v>0.02</v>
      </c>
      <c r="O68" s="120">
        <v>0.02</v>
      </c>
      <c r="P68" s="120">
        <v>0.02</v>
      </c>
      <c r="Q68" s="120">
        <v>0.02</v>
      </c>
      <c r="R68" s="120">
        <v>0.02</v>
      </c>
      <c r="S68" s="120">
        <v>0.02</v>
      </c>
      <c r="T68" s="120">
        <v>0.02</v>
      </c>
      <c r="U68" s="120">
        <v>0.02</v>
      </c>
    </row>
    <row r="69" outlineLevel="1" spans="3:21">
      <c r="C69" s="122" t="s">
        <v>584</v>
      </c>
      <c r="D69" s="9" t="s">
        <v>56</v>
      </c>
      <c r="F69" s="91">
        <f t="shared" ref="F69:U69" si="21">+F67/F47</f>
        <v>0.0236995958017859</v>
      </c>
      <c r="G69" s="91">
        <f t="shared" si="21"/>
        <v>-0.0333868213311137</v>
      </c>
      <c r="H69" s="91">
        <f t="shared" si="21"/>
        <v>0.039516592606302</v>
      </c>
      <c r="I69" s="91">
        <f t="shared" si="21"/>
        <v>0.0382847087807526</v>
      </c>
      <c r="J69" s="91">
        <f t="shared" si="21"/>
        <v>0.00321428571428572</v>
      </c>
      <c r="K69" s="91">
        <f t="shared" si="21"/>
        <v>0.00259910313901345</v>
      </c>
      <c r="L69" s="91">
        <f t="shared" si="21"/>
        <v>0.00198198198198199</v>
      </c>
      <c r="M69" s="91">
        <f t="shared" si="21"/>
        <v>0.00190045248868778</v>
      </c>
      <c r="N69" s="91">
        <f t="shared" si="21"/>
        <v>0.00181818181818182</v>
      </c>
      <c r="O69" s="91">
        <f t="shared" si="21"/>
        <v>0.00165137614678899</v>
      </c>
      <c r="P69" s="91">
        <f t="shared" si="21"/>
        <v>0.00148148148148148</v>
      </c>
      <c r="Q69" s="91">
        <f t="shared" si="21"/>
        <v>0.00130841121495327</v>
      </c>
      <c r="R69" s="91">
        <f t="shared" si="21"/>
        <v>0.00113207547169811</v>
      </c>
      <c r="S69" s="91">
        <f t="shared" si="21"/>
        <v>0.000952380952380954</v>
      </c>
      <c r="T69" s="91">
        <f t="shared" si="21"/>
        <v>0.000769230769230769</v>
      </c>
      <c r="U69" s="91">
        <f t="shared" si="21"/>
        <v>0.000582524271844661</v>
      </c>
    </row>
    <row r="70" outlineLevel="1" spans="3:21">
      <c r="C70" s="18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</row>
    <row r="71" outlineLevel="1" spans="3:21">
      <c r="C71" s="18" t="s">
        <v>292</v>
      </c>
      <c r="D71" s="63" t="s">
        <v>48</v>
      </c>
      <c r="F71" s="72">
        <f>+'DFT-Op-Model'!W161</f>
        <v>-4.843</v>
      </c>
      <c r="G71" s="72">
        <f>+'DFT-Op-Model'!X161</f>
        <v>-3.2970965392</v>
      </c>
      <c r="H71" s="72">
        <f>+'DFT-Op-Model'!Y161</f>
        <v>-6.1983754685286</v>
      </c>
      <c r="I71" s="72">
        <f>+'DFT-Op-Model'!Z161</f>
        <v>-7.34247583195573</v>
      </c>
      <c r="J71" s="16">
        <f t="shared" ref="J71:U71" si="22">-J72*J$47</f>
        <v>-8.35965612470071</v>
      </c>
      <c r="K71" s="16">
        <f t="shared" si="22"/>
        <v>-9.32101657904129</v>
      </c>
      <c r="L71" s="16">
        <f t="shared" si="22"/>
        <v>-11.4959204474843</v>
      </c>
      <c r="M71" s="16">
        <f t="shared" si="22"/>
        <v>-12.7029920944701</v>
      </c>
      <c r="N71" s="16">
        <f t="shared" si="22"/>
        <v>-15.3706204343088</v>
      </c>
      <c r="O71" s="16">
        <f t="shared" si="22"/>
        <v>-16.7539762733966</v>
      </c>
      <c r="P71" s="16">
        <f t="shared" si="22"/>
        <v>-19.7392302275655</v>
      </c>
      <c r="Q71" s="16">
        <f t="shared" si="22"/>
        <v>-21.1209763434951</v>
      </c>
      <c r="R71" s="16">
        <f t="shared" si="22"/>
        <v>-24.2539211677802</v>
      </c>
      <c r="S71" s="16">
        <f t="shared" si="22"/>
        <v>-25.4666172261692</v>
      </c>
      <c r="T71" s="16">
        <f t="shared" si="22"/>
        <v>-26.4852819152159</v>
      </c>
      <c r="U71" s="16">
        <f t="shared" si="22"/>
        <v>-27.2798403726724</v>
      </c>
    </row>
    <row r="72" outlineLevel="1" spans="3:21">
      <c r="C72" s="73" t="s">
        <v>584</v>
      </c>
      <c r="D72" s="9" t="s">
        <v>56</v>
      </c>
      <c r="F72" s="74">
        <f t="shared" ref="F72:I72" si="23">-F71/F$47</f>
        <v>0.00916018694876688</v>
      </c>
      <c r="G72" s="74">
        <f t="shared" si="23"/>
        <v>0.00561047249666326</v>
      </c>
      <c r="H72" s="74">
        <f t="shared" si="23"/>
        <v>0.00885401895604643</v>
      </c>
      <c r="I72" s="74">
        <f t="shared" si="23"/>
        <v>0.0088534929286656</v>
      </c>
      <c r="J72" s="120">
        <v>0.009</v>
      </c>
      <c r="K72" s="120">
        <v>0.009</v>
      </c>
      <c r="L72" s="120">
        <v>0.01</v>
      </c>
      <c r="M72" s="120">
        <v>0.01</v>
      </c>
      <c r="N72" s="120">
        <v>0.011</v>
      </c>
      <c r="O72" s="120">
        <v>0.011</v>
      </c>
      <c r="P72" s="120">
        <v>0.012</v>
      </c>
      <c r="Q72" s="120">
        <v>0.012</v>
      </c>
      <c r="R72" s="120">
        <v>0.013</v>
      </c>
      <c r="S72" s="120">
        <v>0.013</v>
      </c>
      <c r="T72" s="120">
        <v>0.013</v>
      </c>
      <c r="U72" s="120">
        <v>0.013</v>
      </c>
    </row>
    <row r="73" outlineLevel="1" spans="3:21">
      <c r="C73" s="18"/>
      <c r="D73" s="63"/>
      <c r="L73" s="71"/>
      <c r="M73" s="71"/>
      <c r="N73" s="71"/>
      <c r="O73" s="71"/>
      <c r="P73" s="71"/>
      <c r="Q73" s="71"/>
      <c r="R73" s="71"/>
      <c r="S73" s="71"/>
      <c r="T73" s="71"/>
      <c r="U73" s="71"/>
    </row>
    <row r="74" outlineLevel="1" spans="3:21">
      <c r="C74" s="18" t="s">
        <v>293</v>
      </c>
      <c r="D74" s="63" t="s">
        <v>48</v>
      </c>
      <c r="F74" s="72">
        <f>+'DFT-Op-Model'!W162</f>
        <v>-3.877</v>
      </c>
      <c r="G74" s="72">
        <f>+'DFT-Op-Model'!X162</f>
        <v>-2.206221382</v>
      </c>
      <c r="H74" s="72">
        <f>+'DFT-Op-Model'!Y162</f>
        <v>-4.458176549176</v>
      </c>
      <c r="I74" s="72">
        <f>+'DFT-Op-Model'!Z162</f>
        <v>-5.27957379899539</v>
      </c>
      <c r="J74" s="16">
        <f t="shared" ref="J74:U74" si="24">-J75*J$47</f>
        <v>-5.57310408313381</v>
      </c>
      <c r="K74" s="16">
        <f t="shared" si="24"/>
        <v>-6.21401105269419</v>
      </c>
      <c r="L74" s="16">
        <f t="shared" si="24"/>
        <v>-6.89755226849056</v>
      </c>
      <c r="M74" s="16">
        <f t="shared" si="24"/>
        <v>-6.35149604723505</v>
      </c>
      <c r="N74" s="16">
        <f t="shared" si="24"/>
        <v>-6.98664565195856</v>
      </c>
      <c r="O74" s="16">
        <f t="shared" si="24"/>
        <v>-7.61544376063483</v>
      </c>
      <c r="P74" s="16">
        <f t="shared" si="24"/>
        <v>-8.22467926148562</v>
      </c>
      <c r="Q74" s="16">
        <f t="shared" si="24"/>
        <v>-8.80040680978961</v>
      </c>
      <c r="R74" s="16">
        <f t="shared" si="24"/>
        <v>-9.32843121837699</v>
      </c>
      <c r="S74" s="16">
        <f t="shared" si="24"/>
        <v>-9.79485277929584</v>
      </c>
      <c r="T74" s="16">
        <f t="shared" si="24"/>
        <v>-10.1866468904677</v>
      </c>
      <c r="U74" s="16">
        <f t="shared" si="24"/>
        <v>-10.4922462971817</v>
      </c>
    </row>
    <row r="75" outlineLevel="1" spans="3:21">
      <c r="C75" s="73" t="s">
        <v>584</v>
      </c>
      <c r="D75" s="9" t="s">
        <v>56</v>
      </c>
      <c r="F75" s="74">
        <f t="shared" ref="F75:I75" si="25">-F74/F$47</f>
        <v>0.00733306727242808</v>
      </c>
      <c r="G75" s="74">
        <f t="shared" si="25"/>
        <v>0.00375419531642369</v>
      </c>
      <c r="H75" s="74">
        <f t="shared" si="25"/>
        <v>0.00636824598255197</v>
      </c>
      <c r="I75" s="74">
        <f t="shared" si="25"/>
        <v>0.00636606375908541</v>
      </c>
      <c r="J75" s="120">
        <v>0.006</v>
      </c>
      <c r="K75" s="120">
        <v>0.006</v>
      </c>
      <c r="L75" s="120">
        <v>0.006</v>
      </c>
      <c r="M75" s="120">
        <v>0.005</v>
      </c>
      <c r="N75" s="120">
        <v>0.005</v>
      </c>
      <c r="O75" s="120">
        <v>0.005</v>
      </c>
      <c r="P75" s="120">
        <v>0.005</v>
      </c>
      <c r="Q75" s="120">
        <v>0.005</v>
      </c>
      <c r="R75" s="120">
        <v>0.005</v>
      </c>
      <c r="S75" s="120">
        <v>0.005</v>
      </c>
      <c r="T75" s="120">
        <v>0.005</v>
      </c>
      <c r="U75" s="120">
        <v>0.005</v>
      </c>
    </row>
    <row r="76" outlineLevel="1" spans="3:21">
      <c r="C76" s="18"/>
      <c r="D76" s="63"/>
      <c r="L76" s="71"/>
      <c r="M76" s="71"/>
      <c r="N76" s="71"/>
      <c r="O76" s="71"/>
      <c r="P76" s="71"/>
      <c r="Q76" s="71"/>
      <c r="R76" s="71"/>
      <c r="S76" s="71"/>
      <c r="T76" s="71"/>
      <c r="U76" s="71"/>
    </row>
    <row r="77" outlineLevel="1" spans="3:21">
      <c r="C77" s="18" t="s">
        <v>294</v>
      </c>
      <c r="D77" s="63" t="s">
        <v>48</v>
      </c>
      <c r="F77" s="72">
        <f>+'DFT-Op-Model'!W163</f>
        <v>-364.16</v>
      </c>
      <c r="G77" s="72">
        <f>+'DFT-Op-Model'!X163</f>
        <v>-396.947</v>
      </c>
      <c r="H77" s="72">
        <f>+'DFT-Op-Model'!Y163</f>
        <v>-365</v>
      </c>
      <c r="I77" s="72">
        <f>+'DFT-Op-Model'!Z163</f>
        <v>-400</v>
      </c>
      <c r="J77" s="16">
        <f t="shared" ref="J77:U77" si="26">-J78*J$47</f>
        <v>-417.982806235035</v>
      </c>
      <c r="K77" s="16">
        <f t="shared" si="26"/>
        <v>-440.159116232505</v>
      </c>
      <c r="L77" s="16">
        <f t="shared" si="26"/>
        <v>-459.83681789937</v>
      </c>
      <c r="M77" s="16">
        <f t="shared" si="26"/>
        <v>-476.362203542629</v>
      </c>
      <c r="N77" s="16">
        <f t="shared" si="26"/>
        <v>-489.065195637099</v>
      </c>
      <c r="O77" s="16">
        <f t="shared" si="26"/>
        <v>-533.081063244438</v>
      </c>
      <c r="P77" s="16">
        <f t="shared" si="26"/>
        <v>-575.727548303993</v>
      </c>
      <c r="Q77" s="16">
        <f t="shared" si="26"/>
        <v>-616.028476685273</v>
      </c>
      <c r="R77" s="16">
        <f t="shared" si="26"/>
        <v>-652.990185286389</v>
      </c>
      <c r="S77" s="16">
        <f t="shared" si="26"/>
        <v>-685.639694550708</v>
      </c>
      <c r="T77" s="16">
        <f t="shared" si="26"/>
        <v>-713.065282332737</v>
      </c>
      <c r="U77" s="16">
        <f t="shared" si="26"/>
        <v>-734.457240802719</v>
      </c>
    </row>
    <row r="78" outlineLevel="1" spans="3:21">
      <c r="C78" s="73" t="s">
        <v>584</v>
      </c>
      <c r="D78" s="9" t="s">
        <v>56</v>
      </c>
      <c r="F78" s="74">
        <f t="shared" ref="F78:I78" si="27">-F77/F$47</f>
        <v>0.688782506558527</v>
      </c>
      <c r="G78" s="74">
        <f t="shared" si="27"/>
        <v>0.675461030532445</v>
      </c>
      <c r="H78" s="74">
        <f t="shared" si="27"/>
        <v>0.52138127729847</v>
      </c>
      <c r="I78" s="74">
        <f t="shared" si="27"/>
        <v>0.482316490039159</v>
      </c>
      <c r="J78" s="120">
        <v>0.45</v>
      </c>
      <c r="K78" s="120">
        <v>0.425</v>
      </c>
      <c r="L78" s="120">
        <v>0.4</v>
      </c>
      <c r="M78" s="120">
        <v>0.375</v>
      </c>
      <c r="N78" s="120">
        <v>0.35</v>
      </c>
      <c r="O78" s="120">
        <v>0.35</v>
      </c>
      <c r="P78" s="120">
        <v>0.35</v>
      </c>
      <c r="Q78" s="120">
        <v>0.35</v>
      </c>
      <c r="R78" s="120">
        <v>0.35</v>
      </c>
      <c r="S78" s="120">
        <v>0.35</v>
      </c>
      <c r="T78" s="120">
        <v>0.35</v>
      </c>
      <c r="U78" s="120">
        <v>0.35</v>
      </c>
    </row>
    <row r="79" outlineLevel="1" spans="3:21">
      <c r="C79" s="18"/>
      <c r="D79" s="63"/>
      <c r="L79" s="71"/>
      <c r="M79" s="71"/>
      <c r="N79" s="71"/>
      <c r="O79" s="71"/>
      <c r="P79" s="71"/>
      <c r="Q79" s="71"/>
      <c r="R79" s="71"/>
      <c r="S79" s="71"/>
      <c r="T79" s="71"/>
      <c r="U79" s="71"/>
    </row>
    <row r="80" outlineLevel="1" spans="3:21">
      <c r="C80" s="123" t="s">
        <v>590</v>
      </c>
      <c r="D80" s="124" t="s">
        <v>48</v>
      </c>
      <c r="E80" s="123"/>
      <c r="F80" s="125">
        <f t="shared" ref="F80:U80" si="28">+F53+F58+F61+F64+F67+F71+F74+F77</f>
        <v>-41.221</v>
      </c>
      <c r="G80" s="125">
        <f t="shared" si="28"/>
        <v>-65.002051544804</v>
      </c>
      <c r="H80" s="125">
        <f t="shared" si="28"/>
        <v>79.9467904520104</v>
      </c>
      <c r="I80" s="125">
        <f t="shared" si="28"/>
        <v>125.760179297026</v>
      </c>
      <c r="J80" s="125">
        <f t="shared" si="28"/>
        <v>143.242044231975</v>
      </c>
      <c r="K80" s="125">
        <f t="shared" si="28"/>
        <v>192.219146379327</v>
      </c>
      <c r="L80" s="125">
        <f t="shared" si="28"/>
        <v>248.291168295484</v>
      </c>
      <c r="M80" s="125">
        <f t="shared" si="28"/>
        <v>316.178048027383</v>
      </c>
      <c r="N80" s="125">
        <f t="shared" si="28"/>
        <v>390.99809666779</v>
      </c>
      <c r="O80" s="125">
        <f t="shared" si="28"/>
        <v>428.980043030256</v>
      </c>
      <c r="P80" s="125">
        <f t="shared" si="28"/>
        <v>461.3740447943</v>
      </c>
      <c r="Q80" s="125">
        <f t="shared" si="28"/>
        <v>493.365610179476</v>
      </c>
      <c r="R80" s="125">
        <f t="shared" si="28"/>
        <v>520.77287337611</v>
      </c>
      <c r="S80" s="125">
        <f t="shared" si="28"/>
        <v>546.459500772524</v>
      </c>
      <c r="T80" s="125">
        <f t="shared" si="28"/>
        <v>567.94474355469</v>
      </c>
      <c r="U80" s="125">
        <f t="shared" si="28"/>
        <v>584.591291750159</v>
      </c>
    </row>
    <row r="81" outlineLevel="1" spans="3:21">
      <c r="C81" s="70" t="s">
        <v>587</v>
      </c>
      <c r="D81" s="9" t="s">
        <v>56</v>
      </c>
      <c r="F81" s="66" t="str">
        <f t="shared" ref="F81:U81" si="29">IFERROR(+F80/E80-1,"N/A")</f>
        <v>N/A</v>
      </c>
      <c r="G81" s="66">
        <f t="shared" si="29"/>
        <v>0.57691592986109</v>
      </c>
      <c r="H81" s="66">
        <f t="shared" si="29"/>
        <v>-2.22991180358216</v>
      </c>
      <c r="I81" s="66">
        <f t="shared" si="29"/>
        <v>0.573048506212586</v>
      </c>
      <c r="J81" s="66">
        <f t="shared" si="29"/>
        <v>0.139009542071818</v>
      </c>
      <c r="K81" s="66">
        <f t="shared" si="29"/>
        <v>0.341918480778137</v>
      </c>
      <c r="L81" s="66">
        <f t="shared" si="29"/>
        <v>0.291708828034773</v>
      </c>
      <c r="M81" s="66">
        <f t="shared" si="29"/>
        <v>0.273416409443564</v>
      </c>
      <c r="N81" s="66">
        <f t="shared" si="29"/>
        <v>0.23663897322159</v>
      </c>
      <c r="O81" s="66">
        <f t="shared" si="29"/>
        <v>0.0971410006497733</v>
      </c>
      <c r="P81" s="66">
        <f t="shared" si="29"/>
        <v>0.0755140065146573</v>
      </c>
      <c r="Q81" s="66">
        <f t="shared" si="29"/>
        <v>0.0693397596725209</v>
      </c>
      <c r="R81" s="66">
        <f t="shared" si="29"/>
        <v>0.0555516287133671</v>
      </c>
      <c r="S81" s="66">
        <f t="shared" si="29"/>
        <v>0.0493240502906584</v>
      </c>
      <c r="T81" s="66">
        <f t="shared" si="29"/>
        <v>0.0393171730966202</v>
      </c>
      <c r="U81" s="66">
        <f t="shared" si="29"/>
        <v>0.029310154525386</v>
      </c>
    </row>
    <row r="82" ht="15.75" outlineLevel="1" spans="3:21">
      <c r="C82" s="126" t="s">
        <v>591</v>
      </c>
      <c r="D82" s="63" t="s">
        <v>48</v>
      </c>
      <c r="G82" s="127">
        <f>+G80-('DFT-Op-Model'!J36+'DFT-Op-Model'!J44+'DFT-Op-Model'!J150+'DFT-Op-Model'!J153+'DFT-Op-Model'!J154+'DFT-Op-Model'!J157+'DFT-Op-Model'!J161+'DFT-Op-Model'!J162+'DFT-Op-Model'!J163)</f>
        <v>8.87194845519603</v>
      </c>
      <c r="H82" s="127">
        <f t="shared" ref="H82:U82" si="30">+H80</f>
        <v>79.9467904520104</v>
      </c>
      <c r="I82" s="127">
        <f t="shared" si="30"/>
        <v>125.760179297026</v>
      </c>
      <c r="J82" s="127">
        <f t="shared" si="30"/>
        <v>143.242044231975</v>
      </c>
      <c r="K82" s="127">
        <f t="shared" si="30"/>
        <v>192.219146379327</v>
      </c>
      <c r="L82" s="127">
        <f t="shared" si="30"/>
        <v>248.291168295484</v>
      </c>
      <c r="M82" s="127">
        <f t="shared" si="30"/>
        <v>316.178048027383</v>
      </c>
      <c r="N82" s="127">
        <f t="shared" si="30"/>
        <v>390.99809666779</v>
      </c>
      <c r="O82" s="127">
        <f t="shared" si="30"/>
        <v>428.980043030256</v>
      </c>
      <c r="P82" s="127">
        <f t="shared" si="30"/>
        <v>461.3740447943</v>
      </c>
      <c r="Q82" s="127">
        <f t="shared" si="30"/>
        <v>493.365610179476</v>
      </c>
      <c r="R82" s="127">
        <f t="shared" si="30"/>
        <v>520.77287337611</v>
      </c>
      <c r="S82" s="127">
        <f t="shared" si="30"/>
        <v>546.459500772524</v>
      </c>
      <c r="T82" s="127">
        <f t="shared" si="30"/>
        <v>567.94474355469</v>
      </c>
      <c r="U82" s="127">
        <f t="shared" si="30"/>
        <v>584.591291750159</v>
      </c>
    </row>
    <row r="83" outlineLevel="1" spans="7:21">
      <c r="G83" s="128"/>
      <c r="H83" s="128"/>
      <c r="I83" s="128"/>
      <c r="J83" s="128"/>
      <c r="K83" s="128"/>
      <c r="L83" s="128"/>
      <c r="M83" s="128"/>
      <c r="N83" s="128"/>
      <c r="O83" s="128"/>
      <c r="P83" s="128"/>
      <c r="Q83" s="128"/>
      <c r="R83" s="128"/>
      <c r="S83" s="128"/>
      <c r="T83" s="128"/>
      <c r="U83" s="128"/>
    </row>
    <row r="84" ht="15.75" outlineLevel="1" spans="3:21">
      <c r="C84" s="2" t="s">
        <v>592</v>
      </c>
      <c r="D84" s="9" t="s">
        <v>460</v>
      </c>
      <c r="G84" s="129">
        <f>_xlfn.DAYS(EOMONTH(Seller_Hist_Year,Months),Valuation_Date)/_xlfn.DAYS(EOMONTH(Seller_Hist_Year,Months),Seller_Hist_Year)</f>
        <v>0.567123287671233</v>
      </c>
      <c r="H84" s="130">
        <f t="shared" ref="H84:U84" si="31">+G84+1</f>
        <v>1.56712328767123</v>
      </c>
      <c r="I84" s="130">
        <f t="shared" si="31"/>
        <v>2.56712328767123</v>
      </c>
      <c r="J84" s="130">
        <f t="shared" si="31"/>
        <v>3.56712328767123</v>
      </c>
      <c r="K84" s="130">
        <f t="shared" si="31"/>
        <v>4.56712328767123</v>
      </c>
      <c r="L84" s="130">
        <f t="shared" si="31"/>
        <v>5.56712328767123</v>
      </c>
      <c r="M84" s="130">
        <f t="shared" si="31"/>
        <v>6.56712328767123</v>
      </c>
      <c r="N84" s="130">
        <f t="shared" si="31"/>
        <v>7.56712328767123</v>
      </c>
      <c r="O84" s="130">
        <f t="shared" si="31"/>
        <v>8.56712328767123</v>
      </c>
      <c r="P84" s="130">
        <f t="shared" si="31"/>
        <v>9.56712328767123</v>
      </c>
      <c r="Q84" s="130">
        <f t="shared" si="31"/>
        <v>10.5671232876712</v>
      </c>
      <c r="R84" s="130">
        <f t="shared" si="31"/>
        <v>11.5671232876712</v>
      </c>
      <c r="S84" s="130">
        <f t="shared" si="31"/>
        <v>12.5671232876712</v>
      </c>
      <c r="T84" s="130">
        <f t="shared" si="31"/>
        <v>13.5671232876712</v>
      </c>
      <c r="U84" s="130">
        <f t="shared" si="31"/>
        <v>14.5671232876712</v>
      </c>
    </row>
    <row r="85" ht="15.75" outlineLevel="1" spans="3:21">
      <c r="C85" s="2" t="s">
        <v>593</v>
      </c>
      <c r="D85" s="9" t="s">
        <v>460</v>
      </c>
      <c r="G85" s="131">
        <f>+G84/2</f>
        <v>0.283561643835616</v>
      </c>
      <c r="H85" s="130">
        <f t="shared" ref="H85:U85" si="32">+H84-0.5</f>
        <v>1.06712328767123</v>
      </c>
      <c r="I85" s="130">
        <f t="shared" si="32"/>
        <v>2.06712328767123</v>
      </c>
      <c r="J85" s="130">
        <f t="shared" si="32"/>
        <v>3.06712328767123</v>
      </c>
      <c r="K85" s="130">
        <f t="shared" si="32"/>
        <v>4.06712328767123</v>
      </c>
      <c r="L85" s="130">
        <f t="shared" si="32"/>
        <v>5.06712328767123</v>
      </c>
      <c r="M85" s="130">
        <f t="shared" si="32"/>
        <v>6.06712328767123</v>
      </c>
      <c r="N85" s="130">
        <f t="shared" si="32"/>
        <v>7.06712328767123</v>
      </c>
      <c r="O85" s="130">
        <f t="shared" si="32"/>
        <v>8.06712328767123</v>
      </c>
      <c r="P85" s="130">
        <f t="shared" si="32"/>
        <v>9.06712328767123</v>
      </c>
      <c r="Q85" s="130">
        <f t="shared" si="32"/>
        <v>10.0671232876712</v>
      </c>
      <c r="R85" s="130">
        <f t="shared" si="32"/>
        <v>11.0671232876712</v>
      </c>
      <c r="S85" s="130">
        <f t="shared" si="32"/>
        <v>12.0671232876712</v>
      </c>
      <c r="T85" s="130">
        <f t="shared" si="32"/>
        <v>13.0671232876712</v>
      </c>
      <c r="U85" s="130">
        <f t="shared" si="32"/>
        <v>14.0671232876712</v>
      </c>
    </row>
    <row r="86" outlineLevel="1" spans="4:21">
      <c r="D86" s="9"/>
      <c r="G86" s="132"/>
      <c r="H86" s="104"/>
      <c r="I86" s="104"/>
      <c r="J86" s="104"/>
      <c r="K86" s="104"/>
      <c r="L86" s="104"/>
      <c r="M86" s="104"/>
      <c r="N86" s="104"/>
      <c r="O86" s="104"/>
      <c r="P86" s="104"/>
      <c r="Q86" s="104"/>
      <c r="R86" s="104"/>
      <c r="S86" s="104"/>
      <c r="T86" s="104"/>
      <c r="U86" s="104"/>
    </row>
    <row r="87" outlineLevel="1" spans="3:21">
      <c r="C87" s="2" t="s">
        <v>594</v>
      </c>
      <c r="D87" s="9" t="s">
        <v>56</v>
      </c>
      <c r="G87" s="133">
        <f>WACC</f>
        <v>0.067650809787859</v>
      </c>
      <c r="H87" s="133">
        <f>WACC</f>
        <v>0.067650809787859</v>
      </c>
      <c r="I87" s="133">
        <f>WACC</f>
        <v>0.067650809787859</v>
      </c>
      <c r="J87" s="133">
        <f>WACC</f>
        <v>0.067650809787859</v>
      </c>
      <c r="K87" s="133">
        <f>WACC</f>
        <v>0.067650809787859</v>
      </c>
      <c r="L87" s="133">
        <f>WACC</f>
        <v>0.067650809787859</v>
      </c>
      <c r="M87" s="133">
        <f>WACC</f>
        <v>0.067650809787859</v>
      </c>
      <c r="N87" s="133">
        <f>WACC</f>
        <v>0.067650809787859</v>
      </c>
      <c r="O87" s="133">
        <f>WACC</f>
        <v>0.067650809787859</v>
      </c>
      <c r="P87" s="133">
        <f>WACC</f>
        <v>0.067650809787859</v>
      </c>
      <c r="Q87" s="133">
        <f>WACC</f>
        <v>0.067650809787859</v>
      </c>
      <c r="R87" s="133">
        <f>WACC</f>
        <v>0.067650809787859</v>
      </c>
      <c r="S87" s="133">
        <f>WACC</f>
        <v>0.067650809787859</v>
      </c>
      <c r="T87" s="133">
        <f>WACC</f>
        <v>0.067650809787859</v>
      </c>
      <c r="U87" s="133">
        <f>WACC</f>
        <v>0.067650809787859</v>
      </c>
    </row>
    <row r="88" ht="15.75" outlineLevel="1" spans="3:21">
      <c r="C88" s="4" t="s">
        <v>595</v>
      </c>
      <c r="D88" s="9" t="s">
        <v>460</v>
      </c>
      <c r="G88" s="134">
        <f>1/((1+G87)^G$84)</f>
        <v>0.963556353627748</v>
      </c>
      <c r="H88" s="134">
        <f t="shared" ref="H88:U88" si="33">+G88*1/(1+H87)</f>
        <v>0.902501402887715</v>
      </c>
      <c r="I88" s="134">
        <f t="shared" si="33"/>
        <v>0.84531514856158</v>
      </c>
      <c r="J88" s="134">
        <f t="shared" si="33"/>
        <v>0.791752453903484</v>
      </c>
      <c r="K88" s="134">
        <f t="shared" si="33"/>
        <v>0.741583715054555</v>
      </c>
      <c r="L88" s="134">
        <f t="shared" si="33"/>
        <v>0.694593876814374</v>
      </c>
      <c r="M88" s="134">
        <f t="shared" si="33"/>
        <v>0.650581510777282</v>
      </c>
      <c r="N88" s="134">
        <f t="shared" si="33"/>
        <v>0.609357951881807</v>
      </c>
      <c r="O88" s="134">
        <f t="shared" si="33"/>
        <v>0.570746489671923</v>
      </c>
      <c r="P88" s="134">
        <f t="shared" si="33"/>
        <v>0.534581610803377</v>
      </c>
      <c r="Q88" s="134">
        <f t="shared" si="33"/>
        <v>0.500708289547963</v>
      </c>
      <c r="R88" s="134">
        <f t="shared" si="33"/>
        <v>0.46898132325442</v>
      </c>
      <c r="S88" s="134">
        <f t="shared" si="33"/>
        <v>0.439264709917287</v>
      </c>
      <c r="T88" s="134">
        <f t="shared" si="33"/>
        <v>0.4114310651856</v>
      </c>
      <c r="U88" s="134">
        <f t="shared" si="33"/>
        <v>0.385361076312348</v>
      </c>
    </row>
    <row r="89" ht="15.75" outlineLevel="1" spans="3:21">
      <c r="C89" s="4" t="s">
        <v>596</v>
      </c>
      <c r="D89" s="9" t="s">
        <v>460</v>
      </c>
      <c r="G89" s="134">
        <f>1/((1+G87)^G$85)</f>
        <v>0.981609063541972</v>
      </c>
      <c r="H89" s="134">
        <f>+G89*1/((1+H87)^(H$85-G$85))</f>
        <v>0.932529335147379</v>
      </c>
      <c r="I89" s="134">
        <f t="shared" ref="I89:U89" si="34">+H89*1/(1+I87)</f>
        <v>0.873440385749974</v>
      </c>
      <c r="J89" s="134">
        <f t="shared" si="34"/>
        <v>0.818095558718796</v>
      </c>
      <c r="K89" s="134">
        <f t="shared" si="34"/>
        <v>0.766257610839401</v>
      </c>
      <c r="L89" s="134">
        <f t="shared" si="34"/>
        <v>0.71770433161724</v>
      </c>
      <c r="M89" s="134">
        <f t="shared" si="34"/>
        <v>0.672227590741815</v>
      </c>
      <c r="N89" s="134">
        <f t="shared" si="34"/>
        <v>0.629632445907465</v>
      </c>
      <c r="O89" s="134">
        <f t="shared" si="34"/>
        <v>0.589736307166359</v>
      </c>
      <c r="P89" s="134">
        <f t="shared" si="34"/>
        <v>0.552368154231568</v>
      </c>
      <c r="Q89" s="134">
        <f t="shared" si="34"/>
        <v>0.517367803375079</v>
      </c>
      <c r="R89" s="134">
        <f t="shared" si="34"/>
        <v>0.484585220778205</v>
      </c>
      <c r="S89" s="134">
        <f t="shared" si="34"/>
        <v>0.453879879390989</v>
      </c>
      <c r="T89" s="134">
        <f t="shared" si="34"/>
        <v>0.425120156543668</v>
      </c>
      <c r="U89" s="134">
        <f t="shared" si="34"/>
        <v>0.398182769727996</v>
      </c>
    </row>
    <row r="90" outlineLevel="1" spans="7:21">
      <c r="G90" s="128"/>
      <c r="H90" s="128"/>
      <c r="I90" s="128"/>
      <c r="J90" s="128"/>
      <c r="K90" s="128"/>
      <c r="L90" s="128"/>
      <c r="M90" s="128"/>
      <c r="N90" s="128"/>
      <c r="O90" s="128"/>
      <c r="P90" s="128"/>
      <c r="Q90" s="128"/>
      <c r="R90" s="128"/>
      <c r="S90" s="128"/>
      <c r="T90" s="128"/>
      <c r="U90" s="128"/>
    </row>
    <row r="91" outlineLevel="1" spans="3:21">
      <c r="C91" s="2" t="s">
        <v>597</v>
      </c>
      <c r="D91" s="63" t="s">
        <v>48</v>
      </c>
      <c r="G91" s="128">
        <f t="shared" ref="G91:U91" si="35">+G82*G89</f>
        <v>8.70878501489763</v>
      </c>
      <c r="H91" s="128">
        <f t="shared" si="35"/>
        <v>74.5527273473801</v>
      </c>
      <c r="I91" s="128">
        <f t="shared" si="35"/>
        <v>109.84401951718</v>
      </c>
      <c r="J91" s="128">
        <f t="shared" si="35"/>
        <v>117.18568020798</v>
      </c>
      <c r="K91" s="128">
        <f t="shared" si="35"/>
        <v>147.289383862212</v>
      </c>
      <c r="L91" s="128">
        <f t="shared" si="35"/>
        <v>178.199646987974</v>
      </c>
      <c r="M91" s="128">
        <f t="shared" si="35"/>
        <v>212.543607470898</v>
      </c>
      <c r="N91" s="128">
        <f t="shared" si="35"/>
        <v>246.185087950104</v>
      </c>
      <c r="O91" s="128">
        <f t="shared" si="35"/>
        <v>252.985106424729</v>
      </c>
      <c r="P91" s="128">
        <f t="shared" si="35"/>
        <v>254.848329533381</v>
      </c>
      <c r="Q91" s="128">
        <f t="shared" si="35"/>
        <v>255.251481999361</v>
      </c>
      <c r="R91" s="128">
        <f t="shared" si="35"/>
        <v>252.358837820262</v>
      </c>
      <c r="S91" s="128">
        <f t="shared" si="35"/>
        <v>248.026972302693</v>
      </c>
      <c r="T91" s="128">
        <f t="shared" si="35"/>
        <v>241.444758288123</v>
      </c>
      <c r="U91" s="128">
        <f t="shared" si="35"/>
        <v>232.774179707945</v>
      </c>
    </row>
    <row r="92" outlineLevel="1" spans="7:21">
      <c r="G92" s="128"/>
      <c r="H92" s="128"/>
      <c r="I92" s="128"/>
      <c r="J92" s="128"/>
      <c r="K92" s="128"/>
      <c r="L92" s="128"/>
      <c r="M92" s="128"/>
      <c r="N92" s="128"/>
      <c r="O92" s="128"/>
      <c r="P92" s="128"/>
      <c r="Q92" s="128"/>
      <c r="R92" s="128"/>
      <c r="S92" s="128"/>
      <c r="T92" s="128"/>
      <c r="U92" s="128"/>
    </row>
    <row r="93" outlineLevel="1" spans="3:24">
      <c r="C93" s="135" t="s">
        <v>21</v>
      </c>
      <c r="D93" s="136" t="s">
        <v>48</v>
      </c>
      <c r="E93" s="135"/>
      <c r="F93" s="137">
        <f t="shared" ref="F93:U93" si="36">+F53+F58</f>
        <v>319.633</v>
      </c>
      <c r="G93" s="137">
        <f t="shared" si="36"/>
        <v>357.206194298793</v>
      </c>
      <c r="H93" s="137">
        <f t="shared" si="36"/>
        <v>426.601927044865</v>
      </c>
      <c r="I93" s="137">
        <f t="shared" si="36"/>
        <v>506.538973422132</v>
      </c>
      <c r="J93" s="137">
        <f t="shared" si="36"/>
        <v>571.243168521215</v>
      </c>
      <c r="K93" s="137">
        <f t="shared" si="36"/>
        <v>644.185812462631</v>
      </c>
      <c r="L93" s="137">
        <f t="shared" si="36"/>
        <v>723.09339614676</v>
      </c>
      <c r="M93" s="137">
        <f t="shared" si="36"/>
        <v>807.910297208299</v>
      </c>
      <c r="N93" s="137">
        <f t="shared" si="36"/>
        <v>898.482630841871</v>
      </c>
      <c r="O93" s="137">
        <f t="shared" si="36"/>
        <v>982.392245121893</v>
      </c>
      <c r="P93" s="137">
        <f t="shared" si="36"/>
        <v>1060.98362473164</v>
      </c>
      <c r="Q93" s="137">
        <f t="shared" si="36"/>
        <v>1135.25247846286</v>
      </c>
      <c r="R93" s="137">
        <f t="shared" si="36"/>
        <v>1203.36762717063</v>
      </c>
      <c r="S93" s="137">
        <f t="shared" si="36"/>
        <v>1263.53600852916</v>
      </c>
      <c r="T93" s="137">
        <f t="shared" si="36"/>
        <v>1314.07744887033</v>
      </c>
      <c r="U93" s="137">
        <f t="shared" si="36"/>
        <v>1353.49977233644</v>
      </c>
      <c r="X93" s="121"/>
    </row>
    <row r="94" outlineLevel="1" spans="3:21">
      <c r="C94" s="70" t="s">
        <v>587</v>
      </c>
      <c r="D94" s="9" t="s">
        <v>56</v>
      </c>
      <c r="F94" s="66" t="str">
        <f t="shared" ref="F94:U94" si="37">IFERROR(+F93/E93-1,"N/A")</f>
        <v>N/A</v>
      </c>
      <c r="G94" s="66">
        <f t="shared" si="37"/>
        <v>0.117551048542526</v>
      </c>
      <c r="H94" s="66">
        <f t="shared" si="37"/>
        <v>0.194273598424848</v>
      </c>
      <c r="I94" s="66">
        <f t="shared" si="37"/>
        <v>0.187380884402006</v>
      </c>
      <c r="J94" s="66">
        <f t="shared" si="37"/>
        <v>0.127737841497067</v>
      </c>
      <c r="K94" s="66">
        <f t="shared" si="37"/>
        <v>0.127691056910569</v>
      </c>
      <c r="L94" s="66">
        <f t="shared" si="37"/>
        <v>0.122491961414791</v>
      </c>
      <c r="M94" s="66">
        <f t="shared" si="37"/>
        <v>0.117297297297297</v>
      </c>
      <c r="N94" s="66">
        <f t="shared" si="37"/>
        <v>0.112106918238994</v>
      </c>
      <c r="O94" s="66">
        <f t="shared" si="37"/>
        <v>0.0933903576982891</v>
      </c>
      <c r="P94" s="66">
        <f t="shared" si="37"/>
        <v>0.0799999999999998</v>
      </c>
      <c r="Q94" s="66">
        <f t="shared" si="37"/>
        <v>0.0700000000000003</v>
      </c>
      <c r="R94" s="66">
        <f t="shared" si="37"/>
        <v>0.0600000000000001</v>
      </c>
      <c r="S94" s="66">
        <f t="shared" si="37"/>
        <v>0.05</v>
      </c>
      <c r="T94" s="66">
        <f t="shared" si="37"/>
        <v>0.04</v>
      </c>
      <c r="U94" s="66">
        <f t="shared" si="37"/>
        <v>0.03</v>
      </c>
    </row>
    <row r="95" outlineLevel="1" spans="3:21">
      <c r="C95" s="70"/>
      <c r="D95" s="9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</row>
    <row r="96" outlineLevel="1" spans="3:21">
      <c r="C96" s="67" t="s">
        <v>598</v>
      </c>
      <c r="D96" s="63" t="s">
        <v>48</v>
      </c>
      <c r="F96" s="23">
        <f>+'DFT-Op-Model'!W171</f>
        <v>275.47</v>
      </c>
      <c r="G96" s="94">
        <f>+'DFT-Op-Model'!X171-'DFT-Op-Model'!J171</f>
        <v>16.8095118018378</v>
      </c>
      <c r="H96" s="23">
        <f>+'DFT-Op-Model'!Y171</f>
        <v>22.7463565575963</v>
      </c>
      <c r="I96" s="23">
        <f>+'DFT-Op-Model'!Z171</f>
        <v>23.2763411038826</v>
      </c>
      <c r="J96" s="159">
        <f t="shared" ref="J96:U96" si="38">-J97*(J71+J74+J77)</f>
        <v>28.0745118187866</v>
      </c>
      <c r="K96" s="159">
        <f t="shared" si="38"/>
        <v>29.6201193511757</v>
      </c>
      <c r="L96" s="159">
        <f t="shared" si="38"/>
        <v>30.1285083087667</v>
      </c>
      <c r="M96" s="159">
        <f t="shared" si="38"/>
        <v>31.211251576113</v>
      </c>
      <c r="N96" s="159">
        <f t="shared" si="38"/>
        <v>30.685347703402</v>
      </c>
      <c r="O96" s="159">
        <f t="shared" si="38"/>
        <v>33.4470289967082</v>
      </c>
      <c r="P96" s="159">
        <f t="shared" si="38"/>
        <v>33.2030301786174</v>
      </c>
      <c r="Q96" s="159">
        <f t="shared" si="38"/>
        <v>35.5272422911207</v>
      </c>
      <c r="R96" s="159">
        <f t="shared" si="38"/>
        <v>34.3286268836273</v>
      </c>
      <c r="S96" s="159">
        <f t="shared" si="38"/>
        <v>36.0450582278087</v>
      </c>
      <c r="T96" s="159">
        <f t="shared" si="38"/>
        <v>37.486860556921</v>
      </c>
      <c r="U96" s="159">
        <f t="shared" si="38"/>
        <v>38.6114663736287</v>
      </c>
    </row>
    <row r="97" outlineLevel="1" spans="3:21">
      <c r="C97" s="18" t="s">
        <v>599</v>
      </c>
      <c r="D97" s="9" t="s">
        <v>56</v>
      </c>
      <c r="F97" s="74"/>
      <c r="G97" s="74">
        <f t="shared" ref="G97:I97" si="39">-G96/(G71+G74+G77)</f>
        <v>0.0417679178107374</v>
      </c>
      <c r="H97" s="74">
        <f t="shared" si="39"/>
        <v>0.0605509379123628</v>
      </c>
      <c r="I97" s="74">
        <f t="shared" si="39"/>
        <v>0.0564108028756605</v>
      </c>
      <c r="J97" s="120">
        <v>0.065</v>
      </c>
      <c r="K97" s="120">
        <v>0.065</v>
      </c>
      <c r="L97" s="120">
        <v>0.063</v>
      </c>
      <c r="M97" s="120">
        <v>0.063</v>
      </c>
      <c r="N97" s="120">
        <v>0.06</v>
      </c>
      <c r="O97" s="120">
        <v>0.06</v>
      </c>
      <c r="P97" s="120">
        <v>0.055</v>
      </c>
      <c r="Q97" s="120">
        <v>0.055</v>
      </c>
      <c r="R97" s="120">
        <v>0.05</v>
      </c>
      <c r="S97" s="120">
        <v>0.05</v>
      </c>
      <c r="T97" s="120">
        <v>0.05</v>
      </c>
      <c r="U97" s="120">
        <v>0.05</v>
      </c>
    </row>
    <row r="98" outlineLevel="1" spans="3:21">
      <c r="C98" s="70" t="s">
        <v>587</v>
      </c>
      <c r="D98" s="9" t="s">
        <v>56</v>
      </c>
      <c r="F98" s="91"/>
      <c r="G98" s="91">
        <f t="shared" ref="G98:U98" si="40">IFERROR(+G96/F96-1,"N/A")</f>
        <v>-0.938978793328356</v>
      </c>
      <c r="H98" s="91">
        <f t="shared" si="40"/>
        <v>0.35318365136038</v>
      </c>
      <c r="I98" s="91">
        <f t="shared" si="40"/>
        <v>0.0232997554990537</v>
      </c>
      <c r="J98" s="91">
        <f t="shared" si="40"/>
        <v>0.20613938820924</v>
      </c>
      <c r="K98" s="91">
        <f t="shared" si="40"/>
        <v>0.0550537634408599</v>
      </c>
      <c r="L98" s="91">
        <f t="shared" si="40"/>
        <v>0.0171636363636365</v>
      </c>
      <c r="M98" s="91">
        <f t="shared" si="40"/>
        <v>0.0359375</v>
      </c>
      <c r="N98" s="91">
        <f t="shared" si="40"/>
        <v>-0.0168498168498169</v>
      </c>
      <c r="O98" s="91">
        <f t="shared" si="40"/>
        <v>0.0900000000000003</v>
      </c>
      <c r="P98" s="91">
        <f t="shared" si="40"/>
        <v>-0.00729508196721307</v>
      </c>
      <c r="Q98" s="91">
        <f t="shared" si="40"/>
        <v>0.0699999999999998</v>
      </c>
      <c r="R98" s="91">
        <f t="shared" si="40"/>
        <v>-0.0337379242011394</v>
      </c>
      <c r="S98" s="91">
        <f t="shared" si="40"/>
        <v>0.05</v>
      </c>
      <c r="T98" s="91">
        <f t="shared" si="40"/>
        <v>0.04</v>
      </c>
      <c r="U98" s="91">
        <f t="shared" si="40"/>
        <v>0.03</v>
      </c>
    </row>
    <row r="99" outlineLevel="1" spans="3:21">
      <c r="C99" s="70"/>
      <c r="D99" s="9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</row>
    <row r="100" outlineLevel="1" spans="3:21">
      <c r="C100" s="2" t="s">
        <v>554</v>
      </c>
      <c r="D100" s="9" t="s">
        <v>56</v>
      </c>
      <c r="G100" s="133">
        <f>Cost_of_Equity</f>
        <v>0.076</v>
      </c>
      <c r="H100" s="133">
        <f>Cost_of_Equity</f>
        <v>0.076</v>
      </c>
      <c r="I100" s="133">
        <f>Cost_of_Equity</f>
        <v>0.076</v>
      </c>
      <c r="J100" s="133">
        <f>Cost_of_Equity</f>
        <v>0.076</v>
      </c>
      <c r="K100" s="133">
        <f>Cost_of_Equity</f>
        <v>0.076</v>
      </c>
      <c r="L100" s="133">
        <f>Cost_of_Equity</f>
        <v>0.076</v>
      </c>
      <c r="M100" s="133">
        <f>Cost_of_Equity</f>
        <v>0.076</v>
      </c>
      <c r="N100" s="133">
        <f>Cost_of_Equity</f>
        <v>0.076</v>
      </c>
      <c r="O100" s="133">
        <f>Cost_of_Equity</f>
        <v>0.076</v>
      </c>
      <c r="P100" s="133">
        <f>Cost_of_Equity</f>
        <v>0.076</v>
      </c>
      <c r="Q100" s="133">
        <f>Cost_of_Equity</f>
        <v>0.076</v>
      </c>
      <c r="R100" s="133">
        <f>Cost_of_Equity</f>
        <v>0.076</v>
      </c>
      <c r="S100" s="133">
        <f>Cost_of_Equity</f>
        <v>0.076</v>
      </c>
      <c r="T100" s="133">
        <f>Cost_of_Equity</f>
        <v>0.076</v>
      </c>
      <c r="U100" s="133">
        <f>Cost_of_Equity</f>
        <v>0.076</v>
      </c>
    </row>
    <row r="101" ht="15.75" outlineLevel="1" spans="3:21">
      <c r="C101" s="4" t="s">
        <v>595</v>
      </c>
      <c r="D101" s="9" t="s">
        <v>460</v>
      </c>
      <c r="G101" s="134">
        <f>1/((1+G100)^G$84)</f>
        <v>0.959309002567231</v>
      </c>
      <c r="H101" s="134">
        <f t="shared" ref="H101:U101" si="41">+G101*1/(1+H100)</f>
        <v>0.891551117627538</v>
      </c>
      <c r="I101" s="134">
        <f t="shared" si="41"/>
        <v>0.828579105601801</v>
      </c>
      <c r="J101" s="134">
        <f t="shared" si="41"/>
        <v>0.770054930856692</v>
      </c>
      <c r="K101" s="134">
        <f t="shared" si="41"/>
        <v>0.715664433881684</v>
      </c>
      <c r="L101" s="134">
        <f t="shared" si="41"/>
        <v>0.665115644871454</v>
      </c>
      <c r="M101" s="134">
        <f t="shared" si="41"/>
        <v>0.618137216423284</v>
      </c>
      <c r="N101" s="134">
        <f t="shared" si="41"/>
        <v>0.574476966936137</v>
      </c>
      <c r="O101" s="134">
        <f t="shared" si="41"/>
        <v>0.533900526892321</v>
      </c>
      <c r="P101" s="134">
        <f t="shared" si="41"/>
        <v>0.496190080754945</v>
      </c>
      <c r="Q101" s="134">
        <f t="shared" si="41"/>
        <v>0.461143197727644</v>
      </c>
      <c r="R101" s="134">
        <f t="shared" si="41"/>
        <v>0.428571745100041</v>
      </c>
      <c r="S101" s="134">
        <f t="shared" si="41"/>
        <v>0.398300878345763</v>
      </c>
      <c r="T101" s="134">
        <f t="shared" si="41"/>
        <v>0.370168102551824</v>
      </c>
      <c r="U101" s="134">
        <f t="shared" si="41"/>
        <v>0.344022400141101</v>
      </c>
    </row>
    <row r="102" ht="15.75" outlineLevel="1" spans="3:21">
      <c r="C102" s="4" t="s">
        <v>596</v>
      </c>
      <c r="D102" s="9" t="s">
        <v>460</v>
      </c>
      <c r="F102" s="91"/>
      <c r="G102" s="134">
        <f>1/((1+G100)^G$85)</f>
        <v>0.979443210486055</v>
      </c>
      <c r="H102" s="134">
        <f>+G102*1/((1+H100)^(H$85-G$85))</f>
        <v>0.924809717395407</v>
      </c>
      <c r="I102" s="134">
        <f t="shared" ref="I102:U102" si="42">+H102*1/(1+I100)</f>
        <v>0.85948858493997</v>
      </c>
      <c r="J102" s="134">
        <f t="shared" si="42"/>
        <v>0.798781212769488</v>
      </c>
      <c r="K102" s="134">
        <f t="shared" si="42"/>
        <v>0.742361721904729</v>
      </c>
      <c r="L102" s="134">
        <f t="shared" si="42"/>
        <v>0.689927250840826</v>
      </c>
      <c r="M102" s="134">
        <f t="shared" si="42"/>
        <v>0.641196329777719</v>
      </c>
      <c r="N102" s="134">
        <f t="shared" si="42"/>
        <v>0.595907369681895</v>
      </c>
      <c r="O102" s="134">
        <f t="shared" si="42"/>
        <v>0.553817258068676</v>
      </c>
      <c r="P102" s="134">
        <f t="shared" si="42"/>
        <v>0.514700053967171</v>
      </c>
      <c r="Q102" s="134">
        <f t="shared" si="42"/>
        <v>0.478345775062426</v>
      </c>
      <c r="R102" s="134">
        <f t="shared" si="42"/>
        <v>0.444559270504114</v>
      </c>
      <c r="S102" s="134">
        <f t="shared" si="42"/>
        <v>0.413159173330961</v>
      </c>
      <c r="T102" s="134">
        <f t="shared" si="42"/>
        <v>0.38397692688751</v>
      </c>
      <c r="U102" s="134">
        <f t="shared" si="42"/>
        <v>0.356855880006979</v>
      </c>
    </row>
    <row r="103" outlineLevel="1" spans="3:21">
      <c r="C103" s="70"/>
      <c r="D103" s="9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</row>
    <row r="104" outlineLevel="1" spans="3:21">
      <c r="C104" s="2" t="s">
        <v>560</v>
      </c>
      <c r="D104" s="63" t="s">
        <v>48</v>
      </c>
      <c r="G104" s="16">
        <f t="shared" ref="G104:U104" si="43">+G96*G102</f>
        <v>16.4639622058953</v>
      </c>
      <c r="H104" s="16">
        <f t="shared" si="43"/>
        <v>21.0360515798058</v>
      </c>
      <c r="I104" s="16">
        <f t="shared" si="43"/>
        <v>20.0057494779561</v>
      </c>
      <c r="J104" s="16">
        <f t="shared" si="43"/>
        <v>22.4253925985217</v>
      </c>
      <c r="K104" s="16">
        <f t="shared" si="43"/>
        <v>21.9888428045623</v>
      </c>
      <c r="L104" s="16">
        <f t="shared" si="43"/>
        <v>20.7864789094024</v>
      </c>
      <c r="M104" s="16">
        <f t="shared" si="43"/>
        <v>20.0125399583727</v>
      </c>
      <c r="N104" s="16">
        <f t="shared" si="43"/>
        <v>18.2856248377087</v>
      </c>
      <c r="O104" s="16">
        <f t="shared" si="43"/>
        <v>18.5235418895004</v>
      </c>
      <c r="P104" s="16">
        <f t="shared" si="43"/>
        <v>17.089601424808</v>
      </c>
      <c r="Q104" s="16">
        <f t="shared" si="43"/>
        <v>16.9943062495767</v>
      </c>
      <c r="R104" s="16">
        <f t="shared" si="43"/>
        <v>15.2611093247933</v>
      </c>
      <c r="S104" s="16">
        <f t="shared" si="43"/>
        <v>14.8923464600678</v>
      </c>
      <c r="T104" s="16">
        <f t="shared" si="43"/>
        <v>14.3940895153071</v>
      </c>
      <c r="U104" s="16">
        <f t="shared" si="43"/>
        <v>13.7787288111211</v>
      </c>
    </row>
    <row r="105" spans="8:22"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</row>
    <row r="106" spans="2:22">
      <c r="B106" s="138" t="s">
        <v>600</v>
      </c>
      <c r="C106" s="138"/>
      <c r="D106" s="138"/>
      <c r="E106" s="138"/>
      <c r="F106" s="138"/>
      <c r="G106" s="138"/>
      <c r="H106" s="138"/>
      <c r="I106" s="138"/>
      <c r="J106" s="138"/>
      <c r="K106" s="138"/>
      <c r="L106" s="138"/>
      <c r="M106" s="138"/>
      <c r="N106" s="138"/>
      <c r="O106" s="138"/>
      <c r="P106" s="138"/>
      <c r="Q106" s="138"/>
      <c r="R106" s="138"/>
      <c r="S106" s="138"/>
      <c r="T106" s="138"/>
      <c r="U106" s="138"/>
      <c r="V106" s="138"/>
    </row>
    <row r="107" outlineLevel="1" spans="2:13">
      <c r="B107" s="26"/>
      <c r="C107" s="26"/>
      <c r="D107" s="26"/>
      <c r="E107" s="26"/>
      <c r="F107" s="26"/>
      <c r="G107" s="26"/>
      <c r="H107" s="26"/>
      <c r="I107" s="160"/>
      <c r="J107" s="160"/>
      <c r="K107" s="160"/>
      <c r="L107" s="160"/>
      <c r="M107" s="160"/>
    </row>
    <row r="108" outlineLevel="1" spans="2:22">
      <c r="B108" s="26"/>
      <c r="C108" s="139"/>
      <c r="D108" s="140"/>
      <c r="E108" s="141" t="s">
        <v>601</v>
      </c>
      <c r="F108" s="142"/>
      <c r="G108" s="142"/>
      <c r="H108" s="142"/>
      <c r="I108" s="142"/>
      <c r="J108" s="142"/>
      <c r="K108" s="142"/>
      <c r="L108" s="142"/>
      <c r="M108" s="142"/>
      <c r="N108" s="142"/>
      <c r="O108" s="161"/>
      <c r="P108" s="162"/>
      <c r="Q108" s="162"/>
      <c r="R108" s="162"/>
      <c r="S108" s="162"/>
      <c r="T108" s="162"/>
      <c r="U108" s="167"/>
      <c r="V108" s="167"/>
    </row>
    <row r="109" outlineLevel="1" spans="2:22">
      <c r="B109" s="26"/>
      <c r="C109" s="143"/>
      <c r="D109" s="144">
        <f ca="1">+$J$33</f>
        <v>62.4655462002185</v>
      </c>
      <c r="E109" s="145">
        <v>0.071</v>
      </c>
      <c r="F109" s="146">
        <f t="shared" ref="F109:O109" si="44">+E109+0.1%</f>
        <v>0.072</v>
      </c>
      <c r="G109" s="146">
        <f t="shared" si="44"/>
        <v>0.073</v>
      </c>
      <c r="H109" s="146">
        <f t="shared" si="44"/>
        <v>0.074</v>
      </c>
      <c r="I109" s="146">
        <f t="shared" si="44"/>
        <v>0.075</v>
      </c>
      <c r="J109" s="163">
        <f t="shared" si="44"/>
        <v>0.076</v>
      </c>
      <c r="K109" s="146">
        <f t="shared" si="44"/>
        <v>0.077</v>
      </c>
      <c r="L109" s="146">
        <f t="shared" si="44"/>
        <v>0.078</v>
      </c>
      <c r="M109" s="146">
        <f t="shared" si="44"/>
        <v>0.079</v>
      </c>
      <c r="N109" s="146">
        <f t="shared" si="44"/>
        <v>0.08</v>
      </c>
      <c r="O109" s="164">
        <f t="shared" si="44"/>
        <v>0.081</v>
      </c>
      <c r="P109" s="165"/>
      <c r="Q109" s="165"/>
      <c r="R109" s="165"/>
      <c r="S109" s="165"/>
      <c r="T109" s="165"/>
      <c r="U109" s="167"/>
      <c r="V109" s="167"/>
    </row>
    <row r="110" ht="15.75" customHeight="1" outlineLevel="1" spans="2:20">
      <c r="B110" s="26"/>
      <c r="C110" s="147" t="s">
        <v>602</v>
      </c>
      <c r="D110" s="148">
        <v>10.1</v>
      </c>
      <c r="E110" s="149">
        <v>68.3474007252518</v>
      </c>
      <c r="F110" s="149">
        <v>67.7392468658194</v>
      </c>
      <c r="G110" s="149">
        <v>67.1312518373266</v>
      </c>
      <c r="H110" s="149">
        <v>66.5237488447617</v>
      </c>
      <c r="I110" s="149">
        <v>65.917043965685</v>
      </c>
      <c r="J110" s="166">
        <v>65.3114183885956</v>
      </c>
      <c r="K110" s="149">
        <v>64.7071304691731</v>
      </c>
      <c r="L110" s="149">
        <v>64.1044175922988</v>
      </c>
      <c r="M110" s="149">
        <v>63.5034978608157</v>
      </c>
      <c r="N110" s="149">
        <v>62.9045716294414</v>
      </c>
      <c r="O110" s="149">
        <v>62.3078229000502</v>
      </c>
      <c r="P110" s="149"/>
      <c r="Q110" s="149"/>
      <c r="R110" s="149"/>
      <c r="S110" s="149"/>
      <c r="T110" s="149"/>
    </row>
    <row r="111" outlineLevel="1" spans="2:20">
      <c r="B111" s="26"/>
      <c r="C111" s="150"/>
      <c r="D111" s="151">
        <f t="shared" ref="D111:D120" si="45">+D110-0.1</f>
        <v>10</v>
      </c>
      <c r="E111" s="152">
        <v>67.8045509637116</v>
      </c>
      <c r="F111" s="152">
        <v>67.2009298344165</v>
      </c>
      <c r="G111" s="152">
        <v>66.5974640252755</v>
      </c>
      <c r="H111" s="152">
        <v>65.9944841887234</v>
      </c>
      <c r="I111" s="152">
        <v>65.3922940601644</v>
      </c>
      <c r="J111" s="154">
        <v>64.7911726800587</v>
      </c>
      <c r="K111" s="152">
        <v>64.1913764340628</v>
      </c>
      <c r="L111" s="152">
        <v>63.5931409004727</v>
      </c>
      <c r="M111" s="152">
        <v>62.9966825257622</v>
      </c>
      <c r="N111" s="152">
        <v>62.4022001464883</v>
      </c>
      <c r="O111" s="152">
        <v>61.8098763736522</v>
      </c>
      <c r="P111" s="152"/>
      <c r="Q111" s="152"/>
      <c r="R111" s="152"/>
      <c r="S111" s="152"/>
      <c r="T111" s="152"/>
    </row>
    <row r="112" outlineLevel="1" spans="2:20">
      <c r="B112" s="26"/>
      <c r="C112" s="150"/>
      <c r="D112" s="151">
        <f t="shared" si="45"/>
        <v>9.9</v>
      </c>
      <c r="E112" s="152">
        <v>67.2617012042554</v>
      </c>
      <c r="F112" s="152">
        <v>66.6626128030123</v>
      </c>
      <c r="G112" s="152">
        <v>66.063676213223</v>
      </c>
      <c r="H112" s="152">
        <v>65.4652195326836</v>
      </c>
      <c r="I112" s="152">
        <v>64.8675441546423</v>
      </c>
      <c r="J112" s="154">
        <v>64.2709269715202</v>
      </c>
      <c r="K112" s="152">
        <v>63.675622398951</v>
      </c>
      <c r="L112" s="152">
        <v>63.081864208645</v>
      </c>
      <c r="M112" s="152">
        <v>62.489867190707</v>
      </c>
      <c r="N112" s="152">
        <v>61.8998286635336</v>
      </c>
      <c r="O112" s="152">
        <v>61.3119298472524</v>
      </c>
      <c r="P112" s="152"/>
      <c r="Q112" s="152"/>
      <c r="R112" s="152"/>
      <c r="S112" s="152"/>
      <c r="T112" s="152"/>
    </row>
    <row r="113" outlineLevel="1" spans="2:20">
      <c r="B113" s="26"/>
      <c r="C113" s="150"/>
      <c r="D113" s="151">
        <f t="shared" si="45"/>
        <v>9.8</v>
      </c>
      <c r="E113" s="152">
        <v>66.7188514448114</v>
      </c>
      <c r="F113" s="152">
        <v>66.1242957716066</v>
      </c>
      <c r="G113" s="152">
        <v>65.529888401169</v>
      </c>
      <c r="H113" s="152">
        <v>64.9359548766423</v>
      </c>
      <c r="I113" s="152">
        <v>64.3427942491187</v>
      </c>
      <c r="J113" s="154">
        <v>63.7506812629802</v>
      </c>
      <c r="K113" s="152">
        <v>63.1598683638375</v>
      </c>
      <c r="L113" s="152">
        <v>62.5705875168156</v>
      </c>
      <c r="M113" s="152">
        <v>61.9830518556501</v>
      </c>
      <c r="N113" s="152">
        <v>61.397457180577</v>
      </c>
      <c r="O113" s="152">
        <v>60.8139833208507</v>
      </c>
      <c r="P113" s="152"/>
      <c r="Q113" s="152"/>
      <c r="R113" s="152"/>
      <c r="S113" s="152"/>
      <c r="T113" s="152"/>
    </row>
    <row r="114" outlineLevel="1" spans="2:20">
      <c r="B114" s="26"/>
      <c r="C114" s="150"/>
      <c r="D114" s="151">
        <f t="shared" si="45"/>
        <v>9.7</v>
      </c>
      <c r="E114" s="152">
        <v>66.1760016853801</v>
      </c>
      <c r="F114" s="152">
        <v>65.5859787401996</v>
      </c>
      <c r="G114" s="152">
        <v>64.9961005891136</v>
      </c>
      <c r="H114" s="152">
        <v>64.4066902205995</v>
      </c>
      <c r="I114" s="152">
        <v>63.8180443435935</v>
      </c>
      <c r="J114" s="154">
        <v>63.2304355544385</v>
      </c>
      <c r="K114" s="152">
        <v>62.6441143287224</v>
      </c>
      <c r="L114" s="152">
        <v>62.0593108249845</v>
      </c>
      <c r="M114" s="152">
        <v>61.4762365205914</v>
      </c>
      <c r="N114" s="152">
        <v>60.8950856976186</v>
      </c>
      <c r="O114" s="152">
        <v>60.3160367944471</v>
      </c>
      <c r="P114" s="152"/>
      <c r="Q114" s="152"/>
      <c r="R114" s="152"/>
      <c r="S114" s="152"/>
      <c r="T114" s="152"/>
    </row>
    <row r="115" outlineLevel="1" spans="2:20">
      <c r="B115" s="26"/>
      <c r="C115" s="150"/>
      <c r="D115" s="153">
        <f t="shared" si="45"/>
        <v>9.6</v>
      </c>
      <c r="E115" s="154">
        <v>65.6331519259619</v>
      </c>
      <c r="F115" s="154">
        <v>65.0476617087911</v>
      </c>
      <c r="G115" s="154">
        <v>64.4623127770567</v>
      </c>
      <c r="H115" s="154">
        <v>63.8774255645551</v>
      </c>
      <c r="I115" s="154">
        <v>63.2932944380667</v>
      </c>
      <c r="J115" s="154">
        <v>62.7101898458952</v>
      </c>
      <c r="K115" s="154">
        <v>62.1283602936055</v>
      </c>
      <c r="L115" s="154">
        <v>61.5480341331516</v>
      </c>
      <c r="M115" s="154">
        <v>60.9694211855308</v>
      </c>
      <c r="N115" s="154">
        <v>60.3927142146582</v>
      </c>
      <c r="O115" s="154">
        <v>59.8180902680416</v>
      </c>
      <c r="P115" s="152"/>
      <c r="Q115" s="152"/>
      <c r="R115" s="152"/>
      <c r="S115" s="152"/>
      <c r="T115" s="152"/>
    </row>
    <row r="116" outlineLevel="1" spans="2:20">
      <c r="B116" s="26"/>
      <c r="C116" s="150"/>
      <c r="D116" s="151">
        <f t="shared" si="45"/>
        <v>9.5</v>
      </c>
      <c r="E116" s="152">
        <v>65.0903021665571</v>
      </c>
      <c r="F116" s="152">
        <v>64.509344677381</v>
      </c>
      <c r="G116" s="152">
        <v>63.9285249649982</v>
      </c>
      <c r="H116" s="152">
        <v>63.3481609085091</v>
      </c>
      <c r="I116" s="152">
        <v>62.7685445325382</v>
      </c>
      <c r="J116" s="154">
        <v>62.1899441373501</v>
      </c>
      <c r="K116" s="152">
        <v>61.6126062584868</v>
      </c>
      <c r="L116" s="152">
        <v>61.0367574413168</v>
      </c>
      <c r="M116" s="152">
        <v>60.4626058504683</v>
      </c>
      <c r="N116" s="152">
        <v>59.8903427316959</v>
      </c>
      <c r="O116" s="152">
        <v>59.3201437416339</v>
      </c>
      <c r="P116" s="152"/>
      <c r="Q116" s="152"/>
      <c r="R116" s="152"/>
      <c r="S116" s="152"/>
      <c r="T116" s="152"/>
    </row>
    <row r="117" outlineLevel="1" spans="2:20">
      <c r="B117" s="26"/>
      <c r="C117" s="150"/>
      <c r="D117" s="151">
        <f t="shared" si="45"/>
        <v>9.4</v>
      </c>
      <c r="E117" s="152">
        <v>64.5474524071662</v>
      </c>
      <c r="F117" s="152">
        <v>63.9710276459694</v>
      </c>
      <c r="G117" s="152">
        <v>63.394737152938</v>
      </c>
      <c r="H117" s="152">
        <v>62.8188962524614</v>
      </c>
      <c r="I117" s="152">
        <v>62.2437946270079</v>
      </c>
      <c r="J117" s="154">
        <v>61.6696984288031</v>
      </c>
      <c r="K117" s="152">
        <v>61.0968522233662</v>
      </c>
      <c r="L117" s="152">
        <v>60.52548074948</v>
      </c>
      <c r="M117" s="152">
        <v>59.9557905154038</v>
      </c>
      <c r="N117" s="152">
        <v>59.3879712487315</v>
      </c>
      <c r="O117" s="152">
        <v>58.8221972152242</v>
      </c>
      <c r="P117" s="152"/>
      <c r="Q117" s="152"/>
      <c r="R117" s="152"/>
      <c r="S117" s="152"/>
      <c r="T117" s="152"/>
    </row>
    <row r="118" outlineLevel="1" spans="2:20">
      <c r="B118" s="26"/>
      <c r="C118" s="150"/>
      <c r="D118" s="151">
        <f t="shared" si="45"/>
        <v>9.3</v>
      </c>
      <c r="E118" s="152">
        <v>64.0046026477898</v>
      </c>
      <c r="F118" s="152">
        <v>63.4327106145561</v>
      </c>
      <c r="G118" s="152">
        <v>62.8609493408762</v>
      </c>
      <c r="H118" s="152">
        <v>62.289631596412</v>
      </c>
      <c r="I118" s="152">
        <v>61.7190447214759</v>
      </c>
      <c r="J118" s="154">
        <v>61.1494527202544</v>
      </c>
      <c r="K118" s="152">
        <v>60.5810981882437</v>
      </c>
      <c r="L118" s="152">
        <v>60.0142040576413</v>
      </c>
      <c r="M118" s="152">
        <v>59.4489751803372</v>
      </c>
      <c r="N118" s="152">
        <v>58.8855997657649</v>
      </c>
      <c r="O118" s="152">
        <v>58.3242506888122</v>
      </c>
      <c r="P118" s="152"/>
      <c r="Q118" s="152"/>
      <c r="R118" s="152"/>
      <c r="S118" s="152"/>
      <c r="T118" s="152"/>
    </row>
    <row r="119" outlineLevel="1" spans="2:20">
      <c r="B119" s="26"/>
      <c r="C119" s="150"/>
      <c r="D119" s="151">
        <f t="shared" si="45"/>
        <v>9.2</v>
      </c>
      <c r="E119" s="152">
        <v>63.4617528884282</v>
      </c>
      <c r="F119" s="152">
        <v>62.8943935831412</v>
      </c>
      <c r="G119" s="152">
        <v>62.3271615288126</v>
      </c>
      <c r="H119" s="152">
        <v>61.7603669403607</v>
      </c>
      <c r="I119" s="152">
        <v>61.1942948159419</v>
      </c>
      <c r="J119" s="154">
        <v>60.6292070117037</v>
      </c>
      <c r="K119" s="152">
        <v>60.0653441531192</v>
      </c>
      <c r="L119" s="152">
        <v>59.5029273658005</v>
      </c>
      <c r="M119" s="152">
        <v>58.9421598452685</v>
      </c>
      <c r="N119" s="152">
        <v>58.3832282827962</v>
      </c>
      <c r="O119" s="152">
        <v>57.826304162398</v>
      </c>
      <c r="P119" s="152"/>
      <c r="Q119" s="152"/>
      <c r="R119" s="152"/>
      <c r="S119" s="152"/>
      <c r="T119" s="152"/>
    </row>
    <row r="120" outlineLevel="1" spans="2:20">
      <c r="B120" s="26"/>
      <c r="C120" s="155"/>
      <c r="D120" s="156">
        <f t="shared" si="45"/>
        <v>9.1</v>
      </c>
      <c r="E120" s="152">
        <v>62.9189031290821</v>
      </c>
      <c r="F120" s="152">
        <v>62.3560765517245</v>
      </c>
      <c r="G120" s="152">
        <v>61.7933737167472</v>
      </c>
      <c r="H120" s="152">
        <v>61.2311022843076</v>
      </c>
      <c r="I120" s="152">
        <v>60.6695449104061</v>
      </c>
      <c r="J120" s="154">
        <v>60.1089613031509</v>
      </c>
      <c r="K120" s="152">
        <v>59.5495901179926</v>
      </c>
      <c r="L120" s="152">
        <v>58.9916506739576</v>
      </c>
      <c r="M120" s="152">
        <v>58.4353445101975</v>
      </c>
      <c r="N120" s="152">
        <v>57.8808567998251</v>
      </c>
      <c r="O120" s="152">
        <v>57.3283576359814</v>
      </c>
      <c r="P120" s="152"/>
      <c r="Q120" s="152"/>
      <c r="R120" s="152"/>
      <c r="S120" s="152"/>
      <c r="T120" s="152"/>
    </row>
    <row r="121" outlineLevel="1" spans="2:20"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</row>
    <row r="122" outlineLevel="1" spans="2:22">
      <c r="B122" s="26"/>
      <c r="C122" s="139"/>
      <c r="D122" s="140"/>
      <c r="E122" s="141" t="s">
        <v>601</v>
      </c>
      <c r="F122" s="142"/>
      <c r="G122" s="142"/>
      <c r="H122" s="142"/>
      <c r="I122" s="142"/>
      <c r="J122" s="142"/>
      <c r="K122" s="142"/>
      <c r="L122" s="142"/>
      <c r="M122" s="142"/>
      <c r="N122" s="142"/>
      <c r="O122" s="161"/>
      <c r="P122" s="162"/>
      <c r="Q122" s="162"/>
      <c r="R122" s="162"/>
      <c r="S122" s="162"/>
      <c r="T122" s="162"/>
      <c r="U122" s="167"/>
      <c r="V122" s="167"/>
    </row>
    <row r="123" outlineLevel="1" spans="2:22">
      <c r="B123" s="26"/>
      <c r="C123" s="143"/>
      <c r="D123" s="144">
        <f ca="1">+$O$33</f>
        <v>62.4655462002185</v>
      </c>
      <c r="E123" s="146">
        <f t="shared" ref="E123:O123" si="46">+E109</f>
        <v>0.071</v>
      </c>
      <c r="F123" s="146">
        <f t="shared" si="46"/>
        <v>0.072</v>
      </c>
      <c r="G123" s="146">
        <f t="shared" si="46"/>
        <v>0.073</v>
      </c>
      <c r="H123" s="146">
        <f t="shared" si="46"/>
        <v>0.074</v>
      </c>
      <c r="I123" s="146">
        <f t="shared" si="46"/>
        <v>0.075</v>
      </c>
      <c r="J123" s="163">
        <f t="shared" si="46"/>
        <v>0.076</v>
      </c>
      <c r="K123" s="146">
        <f t="shared" si="46"/>
        <v>0.077</v>
      </c>
      <c r="L123" s="146">
        <f t="shared" si="46"/>
        <v>0.078</v>
      </c>
      <c r="M123" s="146">
        <f t="shared" si="46"/>
        <v>0.079</v>
      </c>
      <c r="N123" s="146">
        <f t="shared" si="46"/>
        <v>0.08</v>
      </c>
      <c r="O123" s="164">
        <f t="shared" si="46"/>
        <v>0.081</v>
      </c>
      <c r="P123" s="165"/>
      <c r="Q123" s="165"/>
      <c r="R123" s="165"/>
      <c r="S123" s="165"/>
      <c r="T123" s="165"/>
      <c r="U123" s="167"/>
      <c r="V123" s="167"/>
    </row>
    <row r="124" ht="15.75" customHeight="1" outlineLevel="1" spans="2:20">
      <c r="B124" s="26"/>
      <c r="C124" s="147" t="s">
        <v>603</v>
      </c>
      <c r="D124" s="157">
        <v>0.0225</v>
      </c>
      <c r="E124" s="149">
        <v>73.0955413984488</v>
      </c>
      <c r="F124" s="149">
        <v>71.4148202714251</v>
      </c>
      <c r="G124" s="149">
        <v>69.787335318509</v>
      </c>
      <c r="H124" s="149">
        <v>68.2106964750991</v>
      </c>
      <c r="I124" s="149">
        <v>66.6826504431904</v>
      </c>
      <c r="J124" s="166">
        <v>65.2010713642388</v>
      </c>
      <c r="K124" s="149">
        <v>63.7639522526098</v>
      </c>
      <c r="L124" s="149">
        <v>62.3693970755137</v>
      </c>
      <c r="M124" s="149">
        <v>61.015613427944</v>
      </c>
      <c r="N124" s="149">
        <v>59.7009057550147</v>
      </c>
      <c r="O124" s="149">
        <v>58.4236690778013</v>
      </c>
      <c r="P124" s="149"/>
      <c r="Q124" s="149"/>
      <c r="R124" s="149"/>
      <c r="S124" s="149"/>
      <c r="T124" s="149"/>
    </row>
    <row r="125" outlineLevel="1" spans="2:20">
      <c r="B125" s="26"/>
      <c r="C125" s="150"/>
      <c r="D125" s="158">
        <f t="shared" ref="D125:D134" si="47">+D124-0.05%</f>
        <v>0.022</v>
      </c>
      <c r="E125" s="152">
        <v>72.3972892151111</v>
      </c>
      <c r="F125" s="152">
        <v>70.7449143030752</v>
      </c>
      <c r="G125" s="152">
        <v>69.1443120544502</v>
      </c>
      <c r="H125" s="152">
        <v>67.5931847660231</v>
      </c>
      <c r="I125" s="152">
        <v>66.08936466972</v>
      </c>
      <c r="J125" s="154">
        <v>64.6308051592331</v>
      </c>
      <c r="K125" s="152">
        <v>63.2155727467737</v>
      </c>
      <c r="L125" s="152">
        <v>61.8418396184275</v>
      </c>
      <c r="M125" s="152">
        <v>60.5078767412514</v>
      </c>
      <c r="N125" s="152">
        <v>59.2120474786958</v>
      </c>
      <c r="O125" s="152">
        <v>57.952801674226</v>
      </c>
      <c r="P125" s="152"/>
      <c r="Q125" s="152"/>
      <c r="R125" s="152"/>
      <c r="S125" s="152"/>
      <c r="T125" s="152"/>
    </row>
    <row r="126" outlineLevel="1" spans="2:20">
      <c r="B126" s="26"/>
      <c r="C126" s="150"/>
      <c r="D126" s="158">
        <f t="shared" si="47"/>
        <v>0.0215</v>
      </c>
      <c r="E126" s="152">
        <v>71.7148702861319</v>
      </c>
      <c r="F126" s="152">
        <v>70.0899531882662</v>
      </c>
      <c r="G126" s="152">
        <v>68.5154052960221</v>
      </c>
      <c r="H126" s="152">
        <v>66.9890165408889</v>
      </c>
      <c r="I126" s="152">
        <v>65.5087003632203</v>
      </c>
      <c r="J126" s="154">
        <v>64.0724854715759</v>
      </c>
      <c r="K126" s="152">
        <v>62.6785082848712</v>
      </c>
      <c r="L126" s="152">
        <v>61.3250059292969</v>
      </c>
      <c r="M126" s="152">
        <v>60.01030974732</v>
      </c>
      <c r="N126" s="152">
        <v>58.732839279125</v>
      </c>
      <c r="O126" s="152">
        <v>57.4910966797866</v>
      </c>
      <c r="P126" s="152"/>
      <c r="Q126" s="152"/>
      <c r="R126" s="152"/>
      <c r="S126" s="152"/>
      <c r="T126" s="152"/>
    </row>
    <row r="127" outlineLevel="1" spans="2:20">
      <c r="B127" s="26"/>
      <c r="C127" s="150"/>
      <c r="D127" s="158">
        <f t="shared" si="47"/>
        <v>0.021</v>
      </c>
      <c r="E127" s="152">
        <v>71.0477487160044</v>
      </c>
      <c r="F127" s="152">
        <v>69.4494392535375</v>
      </c>
      <c r="G127" s="152">
        <v>67.900152439577</v>
      </c>
      <c r="H127" s="152">
        <v>66.3977613914396</v>
      </c>
      <c r="I127" s="152">
        <v>64.9402567042465</v>
      </c>
      <c r="J127" s="154">
        <v>63.5257387040954</v>
      </c>
      <c r="K127" s="152">
        <v>62.1524103408547</v>
      </c>
      <c r="L127" s="152">
        <v>60.8185705955659</v>
      </c>
      <c r="M127" s="152">
        <v>59.5226083635282</v>
      </c>
      <c r="N127" s="152">
        <v>58.2629967768374</v>
      </c>
      <c r="O127" s="152">
        <v>57.038287932769</v>
      </c>
      <c r="P127" s="152"/>
      <c r="Q127" s="152"/>
      <c r="R127" s="152"/>
      <c r="S127" s="152"/>
      <c r="T127" s="152"/>
    </row>
    <row r="128" outlineLevel="1" spans="2:20">
      <c r="B128" s="26"/>
      <c r="C128" s="150"/>
      <c r="D128" s="158">
        <f t="shared" si="47"/>
        <v>0.0205</v>
      </c>
      <c r="E128" s="152">
        <v>70.3954126336722</v>
      </c>
      <c r="F128" s="152">
        <v>68.8228967951802</v>
      </c>
      <c r="G128" s="152">
        <v>67.2981109784051</v>
      </c>
      <c r="H128" s="152">
        <v>65.819007314681</v>
      </c>
      <c r="I128" s="152">
        <v>64.3836497485504</v>
      </c>
      <c r="J128" s="154">
        <v>62.9902067491401</v>
      </c>
      <c r="K128" s="152">
        <v>61.6369446217077</v>
      </c>
      <c r="L128" s="152">
        <v>60.322221296962</v>
      </c>
      <c r="M128" s="152">
        <v>59.0444805626259</v>
      </c>
      <c r="N128" s="152">
        <v>57.8022467041062</v>
      </c>
      <c r="O128" s="152">
        <v>56.5941195234654</v>
      </c>
      <c r="P128" s="152"/>
      <c r="Q128" s="152"/>
      <c r="R128" s="152"/>
      <c r="S128" s="152"/>
      <c r="T128" s="152"/>
    </row>
    <row r="129" outlineLevel="1" spans="2:20">
      <c r="B129" s="26"/>
      <c r="C129" s="150"/>
      <c r="D129" s="168">
        <f t="shared" si="47"/>
        <v>0.02</v>
      </c>
      <c r="E129" s="154">
        <v>69.7573728742171</v>
      </c>
      <c r="F129" s="154">
        <v>68.2098708748606</v>
      </c>
      <c r="G129" s="154">
        <v>66.7088574184979</v>
      </c>
      <c r="H129" s="154">
        <v>65.2523597354333</v>
      </c>
      <c r="I129" s="154">
        <v>63.8385115446995</v>
      </c>
      <c r="J129" s="154">
        <v>62.4655461909584</v>
      </c>
      <c r="K129" s="154">
        <v>61.1317903455053</v>
      </c>
      <c r="L129" s="154">
        <v>59.8356581512289</v>
      </c>
      <c r="M129" s="154">
        <v>58.5756457790648</v>
      </c>
      <c r="N129" s="154">
        <v>57.3503263656081</v>
      </c>
      <c r="O129" s="154">
        <v>56.1583453036263</v>
      </c>
      <c r="P129" s="152"/>
      <c r="Q129" s="152"/>
      <c r="R129" s="152"/>
      <c r="S129" s="152"/>
      <c r="T129" s="152"/>
    </row>
    <row r="130" outlineLevel="1" spans="2:20">
      <c r="B130" s="26"/>
      <c r="C130" s="150"/>
      <c r="D130" s="158">
        <f t="shared" si="47"/>
        <v>0.0195</v>
      </c>
      <c r="E130" s="152">
        <v>69.1331617280342</v>
      </c>
      <c r="F130" s="152">
        <v>67.6099261939016</v>
      </c>
      <c r="G130" s="152">
        <v>66.1319862640033</v>
      </c>
      <c r="H130" s="152">
        <v>64.697440590732</v>
      </c>
      <c r="I130" s="152">
        <v>63.3044893066716</v>
      </c>
      <c r="J130" s="154">
        <v>61.9514275570193</v>
      </c>
      <c r="K130" s="152">
        <v>60.6366395631113</v>
      </c>
      <c r="L130" s="152">
        <v>59.3585930988244</v>
      </c>
      <c r="M130" s="152">
        <v>58.1158343501707</v>
      </c>
      <c r="N130" s="152">
        <v>56.9069831302884</v>
      </c>
      <c r="O130" s="152">
        <v>55.7307284238891</v>
      </c>
      <c r="P130" s="152"/>
      <c r="Q130" s="152"/>
      <c r="R130" s="152"/>
      <c r="S130" s="152"/>
      <c r="T130" s="152"/>
    </row>
    <row r="131" outlineLevel="1" spans="2:20">
      <c r="B131" s="26"/>
      <c r="C131" s="150"/>
      <c r="D131" s="158">
        <f t="shared" si="47"/>
        <v>0.019</v>
      </c>
      <c r="E131" s="152">
        <v>68.5223317720995</v>
      </c>
      <c r="F131" s="152">
        <v>67.0226460402735</v>
      </c>
      <c r="G131" s="152">
        <v>65.5671090671861</v>
      </c>
      <c r="H131" s="152">
        <v>64.1538874715454</v>
      </c>
      <c r="I131" s="152">
        <v>62.7812446374585</v>
      </c>
      <c r="J131" s="154">
        <v>61.4475346147983</v>
      </c>
      <c r="K131" s="152">
        <v>60.1511965204587</v>
      </c>
      <c r="L131" s="152">
        <v>58.8907493238957</v>
      </c>
      <c r="M131" s="152">
        <v>57.6647869897897</v>
      </c>
      <c r="N131" s="152">
        <v>56.4719739523369</v>
      </c>
      <c r="O131" s="152">
        <v>55.3110408973351</v>
      </c>
      <c r="P131" s="152"/>
      <c r="Q131" s="152"/>
      <c r="R131" s="152"/>
      <c r="S131" s="152"/>
      <c r="T131" s="152"/>
    </row>
    <row r="132" outlineLevel="1" spans="2:20">
      <c r="B132" s="26"/>
      <c r="C132" s="150"/>
      <c r="D132" s="158">
        <f t="shared" si="47"/>
        <v>0.0185</v>
      </c>
      <c r="E132" s="152">
        <v>67.924454777092</v>
      </c>
      <c r="F132" s="152">
        <v>66.4476313028581</v>
      </c>
      <c r="G132" s="152">
        <v>65.0138535381445</v>
      </c>
      <c r="H132" s="152">
        <v>63.6213528176555</v>
      </c>
      <c r="I132" s="152">
        <v>62.2684528000393</v>
      </c>
      <c r="J132" s="154">
        <v>60.9535637108319</v>
      </c>
      <c r="K132" s="152">
        <v>59.6751770586011</v>
      </c>
      <c r="L132" s="152">
        <v>58.431860709054</v>
      </c>
      <c r="M132" s="152">
        <v>57.2222542922235</v>
      </c>
      <c r="N132" s="152">
        <v>56.0450649193401</v>
      </c>
      <c r="O132" s="152">
        <v>54.8990631874665</v>
      </c>
      <c r="P132" s="152"/>
      <c r="Q132" s="152"/>
      <c r="R132" s="152"/>
      <c r="S132" s="152"/>
      <c r="T132" s="152"/>
    </row>
    <row r="133" outlineLevel="1" spans="2:20">
      <c r="B133" s="26"/>
      <c r="C133" s="150"/>
      <c r="D133" s="158">
        <f t="shared" si="47"/>
        <v>0.018</v>
      </c>
      <c r="E133" s="152">
        <v>67.3391206846721</v>
      </c>
      <c r="F133" s="152">
        <v>65.8844995480091</v>
      </c>
      <c r="G133" s="152">
        <v>64.4718627099325</v>
      </c>
      <c r="H133" s="152">
        <v>63.0995031618885</v>
      </c>
      <c r="I133" s="152">
        <v>61.7658020323741</v>
      </c>
      <c r="J133" s="154">
        <v>60.469223149096</v>
      </c>
      <c r="K133" s="152">
        <v>59.2083080489435</v>
      </c>
      <c r="L133" s="152">
        <v>57.9816713216641</v>
      </c>
      <c r="M133" s="152">
        <v>56.7879962644335</v>
      </c>
      <c r="N133" s="152">
        <v>55.6260308258264</v>
      </c>
      <c r="O133" s="152">
        <v>54.4945838190182</v>
      </c>
      <c r="P133" s="152"/>
      <c r="Q133" s="152"/>
      <c r="R133" s="152"/>
      <c r="S133" s="152"/>
      <c r="T133" s="152"/>
    </row>
    <row r="134" outlineLevel="1" spans="2:20">
      <c r="B134" s="26"/>
      <c r="C134" s="155"/>
      <c r="D134" s="169">
        <f t="shared" si="47"/>
        <v>0.0175</v>
      </c>
      <c r="E134" s="152">
        <v>66.7659366496989</v>
      </c>
      <c r="F134" s="152">
        <v>65.3328841538515</v>
      </c>
      <c r="G134" s="152">
        <v>63.9407941550933</v>
      </c>
      <c r="H134" s="152">
        <v>62.5880184201921</v>
      </c>
      <c r="I134" s="152">
        <v>61.2729929033412</v>
      </c>
      <c r="J134" s="154">
        <v>59.9942326060015</v>
      </c>
      <c r="K134" s="152">
        <v>58.7503268612639</v>
      </c>
      <c r="L134" s="152">
        <v>57.5399349295395</v>
      </c>
      <c r="M134" s="152">
        <v>56.3617818846481</v>
      </c>
      <c r="N134" s="152">
        <v>55.2146547705498</v>
      </c>
      <c r="O134" s="152">
        <v>54.0973990101407</v>
      </c>
      <c r="P134" s="152"/>
      <c r="Q134" s="152"/>
      <c r="R134" s="152"/>
      <c r="S134" s="152"/>
      <c r="T134" s="152"/>
    </row>
    <row r="135" outlineLevel="1"/>
    <row r="136" spans="8:8">
      <c r="H136" s="170"/>
    </row>
  </sheetData>
  <mergeCells count="2">
    <mergeCell ref="C110:C120"/>
    <mergeCell ref="C124:C134"/>
  </mergeCells>
  <pageMargins left="0.75" right="0.75" top="1" bottom="1" header="0.5" footer="0.5"/>
  <pageSetup paperSize="1" scale="28" orientation="portrait" horizontalDpi="200" verticalDpi="200"/>
  <headerFooter alignWithMargins="0"/>
  <rowBreaks count="2" manualBreakCount="2">
    <brk id="43" max="22" man="1"/>
    <brk id="105" max="22" man="1"/>
  </rowBreak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N112"/>
  <sheetViews>
    <sheetView tabSelected="1" workbookViewId="0">
      <selection activeCell="A1" sqref="A1"/>
    </sheetView>
  </sheetViews>
  <sheetFormatPr defaultColWidth="7.875" defaultRowHeight="15"/>
  <cols>
    <col min="1" max="16384" width="7.875" style="1"/>
  </cols>
  <sheetData>
    <row r="1" spans="1:1">
      <c r="A1" s="1" t="s">
        <v>604</v>
      </c>
    </row>
    <row r="2" spans="1:6">
      <c r="A2" s="1" t="s">
        <v>605</v>
      </c>
      <c r="B2" s="1" t="s">
        <v>606</v>
      </c>
      <c r="C2" s="1" t="s">
        <v>607</v>
      </c>
      <c r="D2" s="1" t="s">
        <v>608</v>
      </c>
      <c r="E2" s="1" t="s">
        <v>609</v>
      </c>
      <c r="F2" s="1" t="s">
        <v>610</v>
      </c>
    </row>
    <row r="3" spans="1:2">
      <c r="A3" s="1" t="s">
        <v>611</v>
      </c>
      <c r="B3" s="1" t="s">
        <v>612</v>
      </c>
    </row>
    <row r="4" spans="1:2">
      <c r="A4" s="1" t="s">
        <v>613</v>
      </c>
      <c r="B4" s="1" t="s">
        <v>614</v>
      </c>
    </row>
    <row r="5" spans="1:14">
      <c r="A5" s="1" t="s">
        <v>615</v>
      </c>
      <c r="B5" s="1" t="s">
        <v>616</v>
      </c>
      <c r="C5" s="1" t="s">
        <v>605</v>
      </c>
      <c r="D5" s="1" t="s">
        <v>606</v>
      </c>
      <c r="E5" s="1" t="s">
        <v>607</v>
      </c>
      <c r="F5" s="1" t="s">
        <v>608</v>
      </c>
      <c r="G5" s="1" t="s">
        <v>609</v>
      </c>
      <c r="H5" s="1" t="s">
        <v>610</v>
      </c>
      <c r="I5" s="1" t="s">
        <v>617</v>
      </c>
      <c r="J5" s="1" t="s">
        <v>606</v>
      </c>
      <c r="K5" s="1" t="s">
        <v>607</v>
      </c>
      <c r="L5" s="1" t="s">
        <v>608</v>
      </c>
      <c r="M5" s="1" t="s">
        <v>609</v>
      </c>
      <c r="N5" s="1" t="s">
        <v>610</v>
      </c>
    </row>
    <row r="6" spans="1:1">
      <c r="A6" s="1" t="s">
        <v>618</v>
      </c>
    </row>
    <row r="7" spans="1:4">
      <c r="A7" s="1" t="s">
        <v>619</v>
      </c>
      <c r="B7" s="1" t="s">
        <v>620</v>
      </c>
      <c r="C7" s="1" t="s">
        <v>621</v>
      </c>
      <c r="D7" s="1" t="s">
        <v>622</v>
      </c>
    </row>
    <row r="8" spans="1:1">
      <c r="A8" s="1" t="s">
        <v>623</v>
      </c>
    </row>
    <row r="9" spans="1:1">
      <c r="A9" s="1" t="s">
        <v>624</v>
      </c>
    </row>
    <row r="10" spans="1:3">
      <c r="A10" s="1" t="s">
        <v>625</v>
      </c>
      <c r="B10" s="1" t="s">
        <v>626</v>
      </c>
      <c r="C10" s="1" t="s">
        <v>627</v>
      </c>
    </row>
    <row r="11" spans="1:1">
      <c r="A11" s="1" t="s">
        <v>628</v>
      </c>
    </row>
    <row r="12" spans="1:1">
      <c r="A12" s="1" t="s">
        <v>629</v>
      </c>
    </row>
    <row r="13" spans="1:4">
      <c r="A13" s="1" t="s">
        <v>630</v>
      </c>
      <c r="B13" s="1" t="s">
        <v>631</v>
      </c>
      <c r="C13" s="1" t="s">
        <v>632</v>
      </c>
      <c r="D13" s="1" t="s">
        <v>633</v>
      </c>
    </row>
    <row r="14" spans="1:1">
      <c r="A14" s="1" t="s">
        <v>634</v>
      </c>
    </row>
    <row r="15" spans="1:4">
      <c r="A15" s="1" t="s">
        <v>635</v>
      </c>
      <c r="B15" s="1" t="s">
        <v>636</v>
      </c>
      <c r="C15" s="1" t="s">
        <v>637</v>
      </c>
      <c r="D15" s="1" t="s">
        <v>638</v>
      </c>
    </row>
    <row r="16" spans="1:1">
      <c r="A16" s="1" t="s">
        <v>639</v>
      </c>
    </row>
    <row r="17" spans="1:1">
      <c r="A17" s="1" t="s">
        <v>640</v>
      </c>
    </row>
    <row r="18" spans="1:1">
      <c r="A18" s="1" t="s">
        <v>641</v>
      </c>
    </row>
    <row r="19" spans="1:4">
      <c r="A19" s="1" t="s">
        <v>642</v>
      </c>
      <c r="B19" s="1" t="s">
        <v>643</v>
      </c>
      <c r="C19" s="1" t="s">
        <v>644</v>
      </c>
      <c r="D19" s="1" t="s">
        <v>645</v>
      </c>
    </row>
    <row r="20" spans="1:3">
      <c r="A20" s="1" t="s">
        <v>646</v>
      </c>
      <c r="B20" s="1" t="s">
        <v>647</v>
      </c>
      <c r="C20" s="1" t="s">
        <v>648</v>
      </c>
    </row>
    <row r="21" spans="1:3">
      <c r="A21" s="1" t="s">
        <v>649</v>
      </c>
      <c r="B21" s="1" t="s">
        <v>650</v>
      </c>
      <c r="C21" s="1" t="s">
        <v>651</v>
      </c>
    </row>
    <row r="22" spans="1:1">
      <c r="A22" s="1" t="s">
        <v>652</v>
      </c>
    </row>
    <row r="23" spans="1:4">
      <c r="A23" s="1" t="s">
        <v>653</v>
      </c>
      <c r="B23" s="1" t="s">
        <v>654</v>
      </c>
      <c r="C23" s="1" t="s">
        <v>655</v>
      </c>
      <c r="D23" s="1" t="s">
        <v>656</v>
      </c>
    </row>
    <row r="24" spans="1:1">
      <c r="A24" s="1" t="s">
        <v>657</v>
      </c>
    </row>
    <row r="25" spans="1:1">
      <c r="A25" s="1" t="s">
        <v>658</v>
      </c>
    </row>
    <row r="26" spans="1:1">
      <c r="A26" s="1" t="s">
        <v>659</v>
      </c>
    </row>
    <row r="27" spans="1:4">
      <c r="A27" s="1" t="s">
        <v>660</v>
      </c>
      <c r="B27" s="1" t="s">
        <v>661</v>
      </c>
      <c r="C27" s="1" t="s">
        <v>662</v>
      </c>
      <c r="D27" s="1" t="s">
        <v>663</v>
      </c>
    </row>
    <row r="28" spans="1:3">
      <c r="A28" s="1" t="s">
        <v>664</v>
      </c>
      <c r="B28" s="1" t="s">
        <v>665</v>
      </c>
      <c r="C28" s="1" t="s">
        <v>666</v>
      </c>
    </row>
    <row r="29" spans="1:1">
      <c r="A29" s="1" t="s">
        <v>667</v>
      </c>
    </row>
    <row r="30" spans="1:1">
      <c r="A30" s="1" t="s">
        <v>668</v>
      </c>
    </row>
    <row r="31" spans="1:1">
      <c r="A31" s="1" t="s">
        <v>669</v>
      </c>
    </row>
    <row r="32" spans="1:1">
      <c r="A32" s="1" t="s">
        <v>670</v>
      </c>
    </row>
    <row r="33" spans="1:1">
      <c r="A33" s="1" t="s">
        <v>671</v>
      </c>
    </row>
    <row r="34" spans="1:4">
      <c r="A34" s="1" t="s">
        <v>672</v>
      </c>
      <c r="B34" s="1" t="s">
        <v>673</v>
      </c>
      <c r="C34" s="1" t="s">
        <v>674</v>
      </c>
      <c r="D34" s="1" t="s">
        <v>675</v>
      </c>
    </row>
    <row r="35" spans="1:1">
      <c r="A35" s="1" t="s">
        <v>676</v>
      </c>
    </row>
    <row r="36" spans="1:1">
      <c r="A36" s="1" t="s">
        <v>677</v>
      </c>
    </row>
    <row r="37" spans="1:1">
      <c r="A37" s="1" t="s">
        <v>678</v>
      </c>
    </row>
    <row r="38" spans="1:4">
      <c r="A38" s="1" t="s">
        <v>679</v>
      </c>
      <c r="B38" s="1" t="s">
        <v>680</v>
      </c>
      <c r="C38" s="1" t="s">
        <v>681</v>
      </c>
      <c r="D38" s="1" t="s">
        <v>682</v>
      </c>
    </row>
    <row r="39" spans="1:4">
      <c r="A39" s="1" t="s">
        <v>683</v>
      </c>
      <c r="B39" s="1" t="s">
        <v>684</v>
      </c>
      <c r="C39" s="1" t="s">
        <v>685</v>
      </c>
      <c r="D39" s="1" t="s">
        <v>686</v>
      </c>
    </row>
    <row r="40" spans="1:1">
      <c r="A40" s="1" t="s">
        <v>687</v>
      </c>
    </row>
    <row r="41" spans="1:1">
      <c r="A41" s="1" t="s">
        <v>688</v>
      </c>
    </row>
    <row r="42" spans="1:4">
      <c r="A42" s="1" t="s">
        <v>689</v>
      </c>
      <c r="B42" s="1" t="s">
        <v>690</v>
      </c>
      <c r="C42" s="1" t="s">
        <v>691</v>
      </c>
      <c r="D42" s="1" t="s">
        <v>692</v>
      </c>
    </row>
    <row r="43" spans="1:4">
      <c r="A43" s="1" t="s">
        <v>693</v>
      </c>
      <c r="B43" s="1" t="s">
        <v>694</v>
      </c>
      <c r="C43" s="1" t="s">
        <v>695</v>
      </c>
      <c r="D43" s="1" t="s">
        <v>696</v>
      </c>
    </row>
    <row r="44" spans="1:1">
      <c r="A44" s="1" t="s">
        <v>697</v>
      </c>
    </row>
    <row r="45" spans="1:1">
      <c r="A45" s="1" t="s">
        <v>698</v>
      </c>
    </row>
    <row r="46" spans="1:4">
      <c r="A46" s="1" t="s">
        <v>699</v>
      </c>
      <c r="B46" s="1" t="s">
        <v>700</v>
      </c>
      <c r="C46" s="1" t="s">
        <v>701</v>
      </c>
      <c r="D46" s="1" t="s">
        <v>702</v>
      </c>
    </row>
    <row r="47" spans="1:4">
      <c r="A47" s="1" t="s">
        <v>703</v>
      </c>
      <c r="B47" s="1" t="s">
        <v>704</v>
      </c>
      <c r="C47" s="1" t="s">
        <v>705</v>
      </c>
      <c r="D47" s="1" t="s">
        <v>706</v>
      </c>
    </row>
    <row r="48" spans="1:4">
      <c r="A48" s="1" t="s">
        <v>707</v>
      </c>
      <c r="B48" s="1" t="s">
        <v>708</v>
      </c>
      <c r="C48" s="1" t="s">
        <v>709</v>
      </c>
      <c r="D48" s="1" t="s">
        <v>710</v>
      </c>
    </row>
    <row r="49" spans="1:4">
      <c r="A49" s="1" t="s">
        <v>711</v>
      </c>
      <c r="B49" s="1" t="s">
        <v>712</v>
      </c>
      <c r="C49" s="1" t="s">
        <v>713</v>
      </c>
      <c r="D49" s="1" t="s">
        <v>714</v>
      </c>
    </row>
    <row r="50" spans="1:3">
      <c r="A50" s="1" t="s">
        <v>715</v>
      </c>
      <c r="B50" s="1" t="s">
        <v>716</v>
      </c>
      <c r="C50" s="1" t="s">
        <v>717</v>
      </c>
    </row>
    <row r="51" spans="1:3">
      <c r="A51" s="1" t="s">
        <v>718</v>
      </c>
      <c r="B51" s="1" t="s">
        <v>719</v>
      </c>
      <c r="C51" s="1" t="s">
        <v>720</v>
      </c>
    </row>
    <row r="52" spans="1:1">
      <c r="A52" s="1" t="s">
        <v>721</v>
      </c>
    </row>
    <row r="53" spans="1:3">
      <c r="A53" s="1" t="s">
        <v>722</v>
      </c>
      <c r="B53" s="1" t="s">
        <v>723</v>
      </c>
      <c r="C53" s="1" t="s">
        <v>724</v>
      </c>
    </row>
    <row r="54" spans="1:1">
      <c r="A54" s="1" t="s">
        <v>725</v>
      </c>
    </row>
    <row r="55" spans="1:1">
      <c r="A55" s="1" t="s">
        <v>726</v>
      </c>
    </row>
    <row r="56" spans="1:1">
      <c r="A56" s="1" t="s">
        <v>727</v>
      </c>
    </row>
    <row r="57" spans="1:1">
      <c r="A57" s="1" t="s">
        <v>728</v>
      </c>
    </row>
    <row r="58" spans="1:1">
      <c r="A58" s="1" t="s">
        <v>729</v>
      </c>
    </row>
    <row r="59" spans="1:4">
      <c r="A59" s="1" t="s">
        <v>730</v>
      </c>
      <c r="B59" s="1" t="s">
        <v>731</v>
      </c>
      <c r="C59" s="1" t="s">
        <v>732</v>
      </c>
      <c r="D59" s="1" t="s">
        <v>733</v>
      </c>
    </row>
    <row r="60" spans="1:4">
      <c r="A60" s="1" t="s">
        <v>734</v>
      </c>
      <c r="B60" s="1" t="s">
        <v>735</v>
      </c>
      <c r="C60" s="1" t="s">
        <v>736</v>
      </c>
      <c r="D60" s="1" t="s">
        <v>737</v>
      </c>
    </row>
    <row r="61" spans="1:4">
      <c r="A61" s="1" t="s">
        <v>738</v>
      </c>
      <c r="B61" s="1" t="s">
        <v>739</v>
      </c>
      <c r="C61" s="1" t="s">
        <v>740</v>
      </c>
      <c r="D61" s="1" t="s">
        <v>741</v>
      </c>
    </row>
    <row r="62" spans="1:1">
      <c r="A62" s="1" t="s">
        <v>742</v>
      </c>
    </row>
    <row r="63" spans="1:1">
      <c r="A63" s="1" t="s">
        <v>743</v>
      </c>
    </row>
    <row r="64" spans="1:1">
      <c r="A64" s="1" t="s">
        <v>744</v>
      </c>
    </row>
    <row r="65" spans="1:1">
      <c r="A65" s="1" t="s">
        <v>745</v>
      </c>
    </row>
    <row r="66" spans="1:4">
      <c r="A66" s="1" t="s">
        <v>746</v>
      </c>
      <c r="B66" s="1" t="s">
        <v>747</v>
      </c>
      <c r="C66" s="1" t="s">
        <v>748</v>
      </c>
      <c r="D66" s="1" t="s">
        <v>749</v>
      </c>
    </row>
    <row r="67" spans="1:4">
      <c r="A67" s="1" t="s">
        <v>750</v>
      </c>
      <c r="B67" s="1" t="s">
        <v>751</v>
      </c>
      <c r="C67" s="1" t="s">
        <v>752</v>
      </c>
      <c r="D67" s="1" t="s">
        <v>753</v>
      </c>
    </row>
    <row r="68" spans="1:4">
      <c r="A68" s="1" t="s">
        <v>754</v>
      </c>
      <c r="B68" s="1" t="s">
        <v>755</v>
      </c>
      <c r="C68" s="1" t="s">
        <v>756</v>
      </c>
      <c r="D68" s="1" t="s">
        <v>757</v>
      </c>
    </row>
    <row r="69" spans="1:1">
      <c r="A69" s="1" t="s">
        <v>758</v>
      </c>
    </row>
    <row r="70" spans="1:1">
      <c r="A70" s="1" t="s">
        <v>759</v>
      </c>
    </row>
    <row r="71" spans="1:1">
      <c r="A71" s="1" t="s">
        <v>760</v>
      </c>
    </row>
    <row r="72" spans="1:1">
      <c r="A72" s="1" t="s">
        <v>761</v>
      </c>
    </row>
    <row r="73" spans="1:1">
      <c r="A73" s="1" t="s">
        <v>762</v>
      </c>
    </row>
    <row r="74" spans="1:4">
      <c r="A74" s="1" t="s">
        <v>763</v>
      </c>
      <c r="B74" s="1" t="s">
        <v>764</v>
      </c>
      <c r="C74" s="1" t="s">
        <v>765</v>
      </c>
      <c r="D74" s="1" t="s">
        <v>766</v>
      </c>
    </row>
    <row r="75" spans="1:4">
      <c r="A75" s="1" t="s">
        <v>767</v>
      </c>
      <c r="B75" s="1" t="s">
        <v>768</v>
      </c>
      <c r="C75" s="1" t="s">
        <v>769</v>
      </c>
      <c r="D75" s="1" t="s">
        <v>770</v>
      </c>
    </row>
    <row r="76" spans="1:3">
      <c r="A76" s="1" t="s">
        <v>771</v>
      </c>
      <c r="B76" s="1" t="s">
        <v>772</v>
      </c>
      <c r="C76" s="1" t="s">
        <v>773</v>
      </c>
    </row>
    <row r="77" spans="1:1">
      <c r="A77" s="1" t="s">
        <v>774</v>
      </c>
    </row>
    <row r="78" spans="1:1">
      <c r="A78" s="1" t="s">
        <v>775</v>
      </c>
    </row>
    <row r="79" spans="1:1">
      <c r="A79" s="1" t="s">
        <v>776</v>
      </c>
    </row>
    <row r="80" spans="1:1">
      <c r="A80" s="1" t="s">
        <v>777</v>
      </c>
    </row>
    <row r="81" spans="1:1">
      <c r="A81" s="1" t="s">
        <v>778</v>
      </c>
    </row>
    <row r="82" spans="1:1">
      <c r="A82" s="1" t="s">
        <v>779</v>
      </c>
    </row>
    <row r="83" spans="1:4">
      <c r="A83" s="1" t="s">
        <v>780</v>
      </c>
      <c r="B83" s="1" t="s">
        <v>781</v>
      </c>
      <c r="C83" s="1" t="s">
        <v>782</v>
      </c>
      <c r="D83" s="1" t="s">
        <v>783</v>
      </c>
    </row>
    <row r="84" spans="1:1">
      <c r="A84" s="1" t="s">
        <v>784</v>
      </c>
    </row>
    <row r="85" spans="1:1">
      <c r="A85" s="1" t="s">
        <v>785</v>
      </c>
    </row>
    <row r="86" spans="1:1">
      <c r="A86" s="1" t="s">
        <v>786</v>
      </c>
    </row>
    <row r="87" spans="1:4">
      <c r="A87" s="1" t="s">
        <v>787</v>
      </c>
      <c r="B87" s="1" t="s">
        <v>788</v>
      </c>
      <c r="C87" s="1" t="s">
        <v>789</v>
      </c>
      <c r="D87" s="1" t="s">
        <v>790</v>
      </c>
    </row>
    <row r="88" spans="1:3">
      <c r="A88" s="1" t="s">
        <v>791</v>
      </c>
      <c r="B88" s="1" t="s">
        <v>708</v>
      </c>
      <c r="C88" s="1" t="s">
        <v>792</v>
      </c>
    </row>
    <row r="89" spans="1:1">
      <c r="A89" s="1" t="s">
        <v>793</v>
      </c>
    </row>
    <row r="90" spans="1:3">
      <c r="A90" s="1" t="s">
        <v>794</v>
      </c>
      <c r="B90" s="1" t="s">
        <v>795</v>
      </c>
      <c r="C90" s="1" t="s">
        <v>796</v>
      </c>
    </row>
    <row r="91" spans="1:3">
      <c r="A91" s="1" t="s">
        <v>797</v>
      </c>
      <c r="B91" s="1" t="s">
        <v>798</v>
      </c>
      <c r="C91" s="1" t="s">
        <v>799</v>
      </c>
    </row>
    <row r="92" spans="1:1">
      <c r="A92" s="1" t="s">
        <v>800</v>
      </c>
    </row>
    <row r="93" spans="1:4">
      <c r="A93" s="1" t="s">
        <v>801</v>
      </c>
      <c r="B93" s="1" t="s">
        <v>802</v>
      </c>
      <c r="C93" s="1" t="s">
        <v>803</v>
      </c>
      <c r="D93" s="1" t="s">
        <v>804</v>
      </c>
    </row>
    <row r="94" spans="1:1">
      <c r="A94" s="1" t="s">
        <v>805</v>
      </c>
    </row>
    <row r="95" spans="1:1">
      <c r="A95" s="1" t="s">
        <v>778</v>
      </c>
    </row>
    <row r="96" spans="1:4">
      <c r="A96" s="1" t="s">
        <v>806</v>
      </c>
      <c r="B96" s="1" t="s">
        <v>704</v>
      </c>
      <c r="C96" s="1" t="s">
        <v>705</v>
      </c>
      <c r="D96" s="1" t="s">
        <v>706</v>
      </c>
    </row>
    <row r="97" spans="1:1">
      <c r="A97" s="1" t="s">
        <v>779</v>
      </c>
    </row>
    <row r="98" spans="1:4">
      <c r="A98" s="1" t="s">
        <v>807</v>
      </c>
      <c r="B98" s="1" t="s">
        <v>808</v>
      </c>
      <c r="C98" s="1" t="s">
        <v>809</v>
      </c>
      <c r="D98" s="1" t="s">
        <v>810</v>
      </c>
    </row>
    <row r="99" spans="1:1">
      <c r="A99" s="1" t="s">
        <v>811</v>
      </c>
    </row>
    <row r="100" spans="1:1">
      <c r="A100" s="1" t="s">
        <v>812</v>
      </c>
    </row>
    <row r="101" spans="1:1">
      <c r="A101" s="1" t="s">
        <v>813</v>
      </c>
    </row>
    <row r="102" spans="1:4">
      <c r="A102" s="1" t="s">
        <v>814</v>
      </c>
      <c r="B102" s="1" t="s">
        <v>815</v>
      </c>
      <c r="C102" s="1" t="s">
        <v>816</v>
      </c>
      <c r="D102" s="1" t="s">
        <v>816</v>
      </c>
    </row>
    <row r="103" spans="1:1">
      <c r="A103" s="1" t="s">
        <v>817</v>
      </c>
    </row>
    <row r="104" spans="1:4">
      <c r="A104" s="1" t="s">
        <v>818</v>
      </c>
      <c r="B104" s="1" t="s">
        <v>819</v>
      </c>
      <c r="C104" s="1" t="s">
        <v>820</v>
      </c>
      <c r="D104" s="1" t="s">
        <v>821</v>
      </c>
    </row>
    <row r="105" spans="1:3">
      <c r="A105" s="1" t="s">
        <v>822</v>
      </c>
      <c r="B105" s="1" t="s">
        <v>823</v>
      </c>
      <c r="C105" s="1" t="s">
        <v>824</v>
      </c>
    </row>
    <row r="106" spans="1:1">
      <c r="A106" s="1" t="s">
        <v>825</v>
      </c>
    </row>
    <row r="107" spans="1:3">
      <c r="A107" s="1" t="s">
        <v>826</v>
      </c>
      <c r="B107" s="1" t="s">
        <v>827</v>
      </c>
      <c r="C107" s="1" t="s">
        <v>828</v>
      </c>
    </row>
    <row r="108" spans="1:3">
      <c r="A108" s="1" t="s">
        <v>829</v>
      </c>
      <c r="B108" s="1" t="s">
        <v>830</v>
      </c>
      <c r="C108" s="1" t="s">
        <v>831</v>
      </c>
    </row>
    <row r="109" spans="1:3">
      <c r="A109" s="1" t="s">
        <v>832</v>
      </c>
      <c r="B109" s="1" t="s">
        <v>719</v>
      </c>
      <c r="C109" s="1" t="s">
        <v>720</v>
      </c>
    </row>
    <row r="110" spans="1:1">
      <c r="A110" s="1" t="s">
        <v>833</v>
      </c>
    </row>
    <row r="111" spans="1:3">
      <c r="A111" s="1" t="s">
        <v>834</v>
      </c>
      <c r="B111" s="1" t="s">
        <v>835</v>
      </c>
      <c r="C111" s="1" t="s">
        <v>836</v>
      </c>
    </row>
    <row r="112" spans="1:1">
      <c r="A112" s="1" t="s">
        <v>837</v>
      </c>
    </row>
  </sheetData>
  <pageMargins left="0.75" right="0.75" top="0.75" bottom="0.5" header="0.5" footer="0.75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Sheet1</vt:lpstr>
      <vt:lpstr>Summary</vt:lpstr>
      <vt:lpstr>Merger-Model</vt:lpstr>
      <vt:lpstr>Value-Creation</vt:lpstr>
      <vt:lpstr>Contrib.</vt:lpstr>
      <vt:lpstr>DLR-Op-Model</vt:lpstr>
      <vt:lpstr>DLR-NAV</vt:lpstr>
      <vt:lpstr>DFT-Op-Model</vt:lpstr>
      <vt:lpstr>DFT-NAV</vt:lpstr>
      <vt:lpstr>DFT-DCF</vt:lpstr>
      <vt:lpstr>合并资产负债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WPS_1674451810</cp:lastModifiedBy>
  <dcterms:created xsi:type="dcterms:W3CDTF">2015-01-15T16:55:00Z</dcterms:created>
  <dcterms:modified xsi:type="dcterms:W3CDTF">2023-12-25T12:51:06Z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34F97193BB33420991F1CAE66C50C82B_12</vt:lpwstr>
  </property>
  <property fmtid="{D5CDD505-2E9C-101B-9397-08002B2CF9AE}" pid="3" name="KSOProductBuildVer">
    <vt:lpwstr>2052-12.1.0.15990</vt:lpwstr>
  </property>
</Properties>
</file>